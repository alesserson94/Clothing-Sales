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Data Analysis Porfolio Projects/Marketing:Sales/Clothing Sales/"/>
    </mc:Choice>
  </mc:AlternateContent>
  <xr:revisionPtr revIDLastSave="0" documentId="8_{78F7D66D-9B2C-0240-8F9F-E0C46D1B298C}" xr6:coauthVersionLast="47" xr6:coauthVersionMax="47" xr10:uidLastSave="{00000000-0000-0000-0000-000000000000}"/>
  <bookViews>
    <workbookView xWindow="1080" yWindow="1160" windowWidth="27640" windowHeight="16660" activeTab="1" xr2:uid="{103DC76D-FE86-E641-A0DE-5F7821F1A598}"/>
  </bookViews>
  <sheets>
    <sheet name="Original Data" sheetId="1" r:id="rId1"/>
    <sheet name="Cleaned Data" sheetId="2" r:id="rId2"/>
  </sheets>
  <definedNames>
    <definedName name="_xlnm._FilterDatabase" localSheetId="1" hidden="1">'Cleaned Data'!$D$1:$D$1203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 a="1"/>
  <c r="M3" i="2" s="1"/>
  <c r="M6" i="2" a="1"/>
  <c r="M6" i="2" s="1"/>
  <c r="M7" i="2" a="1"/>
  <c r="M7" i="2" s="1"/>
  <c r="M8" i="2" a="1"/>
  <c r="M8" i="2" s="1"/>
  <c r="M9" i="2" a="1"/>
  <c r="M9" i="2" s="1"/>
  <c r="M10" i="2" a="1"/>
  <c r="M10" i="2" s="1"/>
  <c r="M11" i="2" a="1"/>
  <c r="M11" i="2" s="1"/>
  <c r="M12" i="2" a="1"/>
  <c r="M12" i="2" s="1"/>
  <c r="M13" i="2" a="1"/>
  <c r="M13" i="2" s="1"/>
  <c r="M14" i="2" a="1"/>
  <c r="M14" i="2" s="1"/>
  <c r="M15" i="2" a="1"/>
  <c r="M15" i="2" s="1"/>
  <c r="M16" i="2" a="1"/>
  <c r="M16" i="2" s="1"/>
  <c r="M17" i="2" a="1"/>
  <c r="M17" i="2" s="1"/>
  <c r="M18" i="2" a="1"/>
  <c r="M18" i="2" s="1"/>
  <c r="M19" i="2" a="1"/>
  <c r="M19" i="2" s="1"/>
  <c r="M20" i="2" a="1"/>
  <c r="M20" i="2" s="1"/>
  <c r="M21" i="2" a="1"/>
  <c r="M21" i="2" s="1"/>
  <c r="M22" i="2" a="1"/>
  <c r="M22" i="2" s="1"/>
  <c r="M23" i="2" a="1"/>
  <c r="M23" i="2" s="1"/>
  <c r="M24" i="2" a="1"/>
  <c r="M24" i="2" s="1"/>
  <c r="M25" i="2" a="1"/>
  <c r="M25" i="2" s="1"/>
  <c r="M26" i="2" a="1"/>
  <c r="M26" i="2" s="1"/>
  <c r="M27" i="2" a="1"/>
  <c r="M27" i="2" s="1"/>
  <c r="M28" i="2" a="1"/>
  <c r="M28" i="2" s="1"/>
  <c r="M29" i="2" a="1"/>
  <c r="M29" i="2" s="1"/>
  <c r="M30" i="2" a="1"/>
  <c r="M30" i="2" s="1"/>
  <c r="M31" i="2" a="1"/>
  <c r="M31" i="2" s="1"/>
  <c r="M32" i="2" a="1"/>
  <c r="M32" i="2" s="1"/>
  <c r="M33" i="2" a="1"/>
  <c r="M33" i="2" s="1"/>
  <c r="M34" i="2" a="1"/>
  <c r="M34" i="2" s="1"/>
  <c r="M35" i="2" a="1"/>
  <c r="M35" i="2" s="1"/>
  <c r="M36" i="2" a="1"/>
  <c r="M36" i="2" s="1"/>
  <c r="M37" i="2" a="1"/>
  <c r="M37" i="2" s="1"/>
  <c r="M39" i="2" a="1"/>
  <c r="M39" i="2" s="1"/>
  <c r="M40" i="2" a="1"/>
  <c r="M40" i="2" s="1"/>
  <c r="M41" i="2" a="1"/>
  <c r="M41" i="2" s="1"/>
  <c r="M43" i="2" a="1"/>
  <c r="M43" i="2" s="1"/>
  <c r="M44" i="2" a="1"/>
  <c r="M44" i="2" s="1"/>
  <c r="M45" i="2" a="1"/>
  <c r="M45" i="2" s="1"/>
  <c r="M46" i="2" a="1"/>
  <c r="M46" i="2" s="1"/>
  <c r="M47" i="2" a="1"/>
  <c r="M47" i="2" s="1"/>
  <c r="M48" i="2" a="1"/>
  <c r="M48" i="2" s="1"/>
  <c r="M49" i="2" a="1"/>
  <c r="M49" i="2" s="1"/>
  <c r="M50" i="2" a="1"/>
  <c r="M50" i="2" s="1"/>
  <c r="M51" i="2" a="1"/>
  <c r="M51" i="2" s="1"/>
  <c r="M52" i="2" a="1"/>
  <c r="M52" i="2" s="1"/>
  <c r="M53" i="2" a="1"/>
  <c r="M53" i="2" s="1"/>
  <c r="M54" i="2" a="1"/>
  <c r="M54" i="2" s="1"/>
  <c r="M55" i="2" a="1"/>
  <c r="M55" i="2" s="1"/>
  <c r="M56" i="2" a="1"/>
  <c r="M56" i="2" s="1"/>
  <c r="M57" i="2" a="1"/>
  <c r="M57" i="2" s="1"/>
  <c r="M58" i="2" a="1"/>
  <c r="M58" i="2" s="1"/>
  <c r="M59" i="2" a="1"/>
  <c r="M59" i="2" s="1"/>
  <c r="M60" i="2" a="1"/>
  <c r="M60" i="2" s="1"/>
  <c r="M62" i="2" a="1"/>
  <c r="M62" i="2" s="1"/>
  <c r="M63" i="2" a="1"/>
  <c r="M63" i="2" s="1"/>
  <c r="M64" i="2" a="1"/>
  <c r="M64" i="2" s="1"/>
  <c r="M65" i="2" a="1"/>
  <c r="M65" i="2" s="1"/>
  <c r="M66" i="2" a="1"/>
  <c r="M66" i="2" s="1"/>
  <c r="M67" i="2" a="1"/>
  <c r="M67" i="2" s="1"/>
  <c r="M68" i="2" a="1"/>
  <c r="M68" i="2" s="1"/>
  <c r="M69" i="2" a="1"/>
  <c r="M69" i="2" s="1"/>
  <c r="M70" i="2" a="1"/>
  <c r="M70" i="2" s="1"/>
  <c r="M71" i="2" a="1"/>
  <c r="M71" i="2" s="1"/>
  <c r="M72" i="2" a="1"/>
  <c r="M72" i="2" s="1"/>
  <c r="M73" i="2" a="1"/>
  <c r="M73" i="2" s="1"/>
  <c r="M74" i="2" a="1"/>
  <c r="M74" i="2" s="1"/>
  <c r="M75" i="2" a="1"/>
  <c r="M75" i="2" s="1"/>
  <c r="M76" i="2" a="1"/>
  <c r="M76" i="2" s="1"/>
  <c r="M77" i="2" a="1"/>
  <c r="M77" i="2" s="1"/>
  <c r="M78" i="2" a="1"/>
  <c r="M78" i="2" s="1"/>
  <c r="M79" i="2" a="1"/>
  <c r="M79" i="2" s="1"/>
  <c r="M80" i="2" a="1"/>
  <c r="M80" i="2" s="1"/>
  <c r="M81" i="2" a="1"/>
  <c r="M81" i="2" s="1"/>
  <c r="M82" i="2" a="1"/>
  <c r="M82" i="2" s="1"/>
  <c r="M83" i="2" a="1"/>
  <c r="M83" i="2" s="1"/>
  <c r="M84" i="2" a="1"/>
  <c r="M84" i="2" s="1"/>
  <c r="M85" i="2" a="1"/>
  <c r="M85" i="2" s="1"/>
  <c r="M86" i="2" a="1"/>
  <c r="M86" i="2" s="1"/>
  <c r="M87" i="2" a="1"/>
  <c r="M87" i="2" s="1"/>
  <c r="M90" i="2" a="1"/>
  <c r="M90" i="2" s="1"/>
  <c r="M91" i="2" a="1"/>
  <c r="M91" i="2" s="1"/>
  <c r="M92" i="2" a="1"/>
  <c r="M92" i="2" s="1"/>
  <c r="M93" i="2" a="1"/>
  <c r="M93" i="2" s="1"/>
  <c r="M94" i="2" a="1"/>
  <c r="M94" i="2" s="1"/>
  <c r="M95" i="2" a="1"/>
  <c r="M95" i="2" s="1"/>
  <c r="M96" i="2" a="1"/>
  <c r="M96" i="2" s="1"/>
  <c r="M97" i="2" a="1"/>
  <c r="M97" i="2" s="1"/>
  <c r="M98" i="2" a="1"/>
  <c r="M98" i="2" s="1"/>
  <c r="M99" i="2" a="1"/>
  <c r="M99" i="2" s="1"/>
  <c r="M100" i="2" a="1"/>
  <c r="M100" i="2" s="1"/>
  <c r="M101" i="2" a="1"/>
  <c r="M101" i="2" s="1"/>
  <c r="M102" i="2" a="1"/>
  <c r="M102" i="2" s="1"/>
  <c r="M103" i="2" a="1"/>
  <c r="M103" i="2" s="1"/>
  <c r="M104" i="2" a="1"/>
  <c r="M104" i="2" s="1"/>
  <c r="M105" i="2" a="1"/>
  <c r="M105" i="2" s="1"/>
  <c r="M106" i="2" a="1"/>
  <c r="M106" i="2" s="1"/>
  <c r="M107" i="2" a="1"/>
  <c r="M107" i="2" s="1"/>
  <c r="M108" i="2" a="1"/>
  <c r="M108" i="2" s="1"/>
  <c r="M109" i="2" a="1"/>
  <c r="M109" i="2" s="1"/>
  <c r="M111" i="2" a="1"/>
  <c r="M111" i="2" s="1"/>
  <c r="M112" i="2" a="1"/>
  <c r="M112" i="2" s="1"/>
  <c r="M113" i="2" a="1"/>
  <c r="M113" i="2" s="1"/>
  <c r="M114" i="2" a="1"/>
  <c r="M114" i="2" s="1"/>
  <c r="M115" i="2" a="1"/>
  <c r="M115" i="2" s="1"/>
  <c r="M116" i="2" a="1"/>
  <c r="M116" i="2" s="1"/>
  <c r="M117" i="2" a="1"/>
  <c r="M117" i="2" s="1"/>
  <c r="M118" i="2" a="1"/>
  <c r="M118" i="2" s="1"/>
  <c r="M119" i="2" a="1"/>
  <c r="M119" i="2" s="1"/>
  <c r="M120" i="2" a="1"/>
  <c r="M120" i="2" s="1"/>
  <c r="M121" i="2" a="1"/>
  <c r="M121" i="2" s="1"/>
  <c r="M122" i="2" a="1"/>
  <c r="M122" i="2" s="1"/>
  <c r="M123" i="2" a="1"/>
  <c r="M123" i="2" s="1"/>
  <c r="M124" i="2" a="1"/>
  <c r="M124" i="2" s="1"/>
  <c r="M125" i="2" a="1"/>
  <c r="M125" i="2" s="1"/>
  <c r="M126" i="2" a="1"/>
  <c r="M126" i="2" s="1"/>
  <c r="M127" i="2" a="1"/>
  <c r="M127" i="2" s="1"/>
  <c r="M128" i="2" a="1"/>
  <c r="M128" i="2" s="1"/>
  <c r="M129" i="2" a="1"/>
  <c r="M129" i="2" s="1"/>
  <c r="M130" i="2" a="1"/>
  <c r="M130" i="2" s="1"/>
  <c r="M131" i="2" a="1"/>
  <c r="M131" i="2" s="1"/>
  <c r="M132" i="2" a="1"/>
  <c r="M132" i="2" s="1"/>
  <c r="M133" i="2" a="1"/>
  <c r="M133" i="2" s="1"/>
  <c r="M134" i="2" a="1"/>
  <c r="M134" i="2" s="1"/>
  <c r="M135" i="2" a="1"/>
  <c r="M135" i="2" s="1"/>
  <c r="M136" i="2" a="1"/>
  <c r="M136" i="2" s="1"/>
  <c r="M137" i="2" a="1"/>
  <c r="M137" i="2" s="1"/>
  <c r="M138" i="2" a="1"/>
  <c r="M138" i="2" s="1"/>
  <c r="M139" i="2" a="1"/>
  <c r="M139" i="2" s="1"/>
  <c r="M140" i="2" a="1"/>
  <c r="M140" i="2" s="1"/>
  <c r="M141" i="2" a="1"/>
  <c r="M141" i="2" s="1"/>
  <c r="M142" i="2" a="1"/>
  <c r="M142" i="2" s="1"/>
  <c r="M143" i="2" a="1"/>
  <c r="M143" i="2" s="1"/>
  <c r="M144" i="2" a="1"/>
  <c r="M144" i="2" s="1"/>
  <c r="M145" i="2" a="1"/>
  <c r="M145" i="2" s="1"/>
  <c r="M146" i="2" a="1"/>
  <c r="M146" i="2" s="1"/>
  <c r="M147" i="2" a="1"/>
  <c r="M147" i="2" s="1"/>
  <c r="M148" i="2" a="1"/>
  <c r="M148" i="2" s="1"/>
  <c r="M149" i="2" a="1"/>
  <c r="M149" i="2" s="1"/>
  <c r="M150" i="2" a="1"/>
  <c r="M150" i="2" s="1"/>
  <c r="M151" i="2" a="1"/>
  <c r="M151" i="2" s="1"/>
  <c r="M152" i="2" a="1"/>
  <c r="M152" i="2" s="1"/>
  <c r="M154" i="2" a="1"/>
  <c r="M154" i="2" s="1"/>
  <c r="M155" i="2" a="1"/>
  <c r="M155" i="2" s="1"/>
  <c r="M156" i="2" a="1"/>
  <c r="M156" i="2" s="1"/>
  <c r="M157" i="2" a="1"/>
  <c r="M157" i="2" s="1"/>
  <c r="M158" i="2" a="1"/>
  <c r="M158" i="2" s="1"/>
  <c r="M159" i="2" a="1"/>
  <c r="M159" i="2" s="1"/>
  <c r="M160" i="2" a="1"/>
  <c r="M160" i="2" s="1"/>
  <c r="M161" i="2" a="1"/>
  <c r="M161" i="2" s="1"/>
  <c r="M162" i="2" a="1"/>
  <c r="M162" i="2" s="1"/>
  <c r="M163" i="2" a="1"/>
  <c r="M163" i="2" s="1"/>
  <c r="M164" i="2" a="1"/>
  <c r="M164" i="2" s="1"/>
  <c r="M165" i="2" a="1"/>
  <c r="M165" i="2" s="1"/>
  <c r="M166" i="2" a="1"/>
  <c r="M166" i="2" s="1"/>
  <c r="M167" i="2" a="1"/>
  <c r="M167" i="2" s="1"/>
  <c r="M168" i="2" a="1"/>
  <c r="M168" i="2" s="1"/>
  <c r="M169" i="2" a="1"/>
  <c r="M169" i="2" s="1"/>
  <c r="M170" i="2" a="1"/>
  <c r="M170" i="2" s="1"/>
  <c r="M171" i="2" a="1"/>
  <c r="M171" i="2" s="1"/>
  <c r="M172" i="2" a="1"/>
  <c r="M172" i="2" s="1"/>
  <c r="M173" i="2" a="1"/>
  <c r="M173" i="2" s="1"/>
  <c r="M174" i="2" a="1"/>
  <c r="M174" i="2" s="1"/>
  <c r="M175" i="2" a="1"/>
  <c r="M175" i="2" s="1"/>
  <c r="M176" i="2" a="1"/>
  <c r="M176" i="2" s="1"/>
  <c r="M177" i="2" a="1"/>
  <c r="M177" i="2" s="1"/>
  <c r="M178" i="2" a="1"/>
  <c r="M178" i="2" s="1"/>
  <c r="M179" i="2" a="1"/>
  <c r="M179" i="2" s="1"/>
  <c r="M180" i="2" a="1"/>
  <c r="M180" i="2" s="1"/>
  <c r="M181" i="2" a="1"/>
  <c r="M181" i="2" s="1"/>
  <c r="M182" i="2" a="1"/>
  <c r="M182" i="2" s="1"/>
  <c r="M183" i="2" a="1"/>
  <c r="M183" i="2" s="1"/>
  <c r="M184" i="2" a="1"/>
  <c r="M184" i="2" s="1"/>
  <c r="M185" i="2" a="1"/>
  <c r="M185" i="2" s="1"/>
  <c r="M186" i="2" a="1"/>
  <c r="M186" i="2" s="1"/>
  <c r="M187" i="2" a="1"/>
  <c r="M187" i="2" s="1"/>
  <c r="M188" i="2" a="1"/>
  <c r="M188" i="2" s="1"/>
  <c r="M189" i="2" a="1"/>
  <c r="M189" i="2" s="1"/>
  <c r="M190" i="2" a="1"/>
  <c r="M190" i="2" s="1"/>
  <c r="M191" i="2" a="1"/>
  <c r="M191" i="2" s="1"/>
  <c r="M192" i="2" a="1"/>
  <c r="M192" i="2" s="1"/>
  <c r="M193" i="2" a="1"/>
  <c r="M193" i="2" s="1"/>
  <c r="M194" i="2" a="1"/>
  <c r="M194" i="2" s="1"/>
  <c r="M195" i="2" a="1"/>
  <c r="M195" i="2" s="1"/>
  <c r="M196" i="2" a="1"/>
  <c r="M196" i="2" s="1"/>
  <c r="M198" i="2" a="1"/>
  <c r="M198" i="2" s="1"/>
  <c r="M199" i="2" a="1"/>
  <c r="M199" i="2" s="1"/>
  <c r="M200" i="2" a="1"/>
  <c r="M200" i="2" s="1"/>
  <c r="M201" i="2" a="1"/>
  <c r="M201" i="2" s="1"/>
  <c r="M202" i="2" a="1"/>
  <c r="M202" i="2" s="1"/>
  <c r="M203" i="2" a="1"/>
  <c r="M203" i="2" s="1"/>
  <c r="M204" i="2" a="1"/>
  <c r="M204" i="2" s="1"/>
  <c r="M206" i="2" a="1"/>
  <c r="M206" i="2" s="1"/>
  <c r="M207" i="2" a="1"/>
  <c r="M207" i="2" s="1"/>
  <c r="M209" i="2" a="1"/>
  <c r="M209" i="2" s="1"/>
  <c r="M210" i="2" a="1"/>
  <c r="M210" i="2" s="1"/>
  <c r="M211" i="2" a="1"/>
  <c r="M211" i="2" s="1"/>
  <c r="M212" i="2" a="1"/>
  <c r="M212" i="2" s="1"/>
  <c r="M213" i="2" a="1"/>
  <c r="M213" i="2" s="1"/>
  <c r="M214" i="2" a="1"/>
  <c r="M214" i="2" s="1"/>
  <c r="M215" i="2" a="1"/>
  <c r="M215" i="2" s="1"/>
  <c r="M216" i="2" a="1"/>
  <c r="M216" i="2" s="1"/>
  <c r="M217" i="2" a="1"/>
  <c r="M217" i="2" s="1"/>
  <c r="M218" i="2" a="1"/>
  <c r="M218" i="2" s="1"/>
  <c r="M219" i="2" a="1"/>
  <c r="M219" i="2" s="1"/>
  <c r="M220" i="2" a="1"/>
  <c r="M220" i="2" s="1"/>
  <c r="M221" i="2" a="1"/>
  <c r="M221" i="2" s="1"/>
  <c r="M222" i="2" a="1"/>
  <c r="M222" i="2" s="1"/>
  <c r="M223" i="2" a="1"/>
  <c r="M223" i="2" s="1"/>
  <c r="M225" i="2" a="1"/>
  <c r="M225" i="2" s="1"/>
  <c r="M226" i="2" a="1"/>
  <c r="M226" i="2" s="1"/>
  <c r="M227" i="2" a="1"/>
  <c r="M227" i="2" s="1"/>
  <c r="M228" i="2" a="1"/>
  <c r="M228" i="2" s="1"/>
  <c r="M229" i="2" a="1"/>
  <c r="M229" i="2" s="1"/>
  <c r="M230" i="2" a="1"/>
  <c r="M230" i="2" s="1"/>
  <c r="M231" i="2" a="1"/>
  <c r="M231" i="2" s="1"/>
  <c r="M232" i="2" a="1"/>
  <c r="M232" i="2" s="1"/>
  <c r="M233" i="2" a="1"/>
  <c r="M233" i="2" s="1"/>
  <c r="M234" i="2" a="1"/>
  <c r="M234" i="2" s="1"/>
  <c r="M235" i="2" a="1"/>
  <c r="M235" i="2" s="1"/>
  <c r="M236" i="2" a="1"/>
  <c r="M236" i="2" s="1"/>
  <c r="M237" i="2" a="1"/>
  <c r="M237" i="2" s="1"/>
  <c r="M238" i="2" a="1"/>
  <c r="M238" i="2" s="1"/>
  <c r="M239" i="2" a="1"/>
  <c r="M239" i="2" s="1"/>
  <c r="M240" i="2" a="1"/>
  <c r="M240" i="2" s="1"/>
  <c r="M241" i="2" a="1"/>
  <c r="M241" i="2" s="1"/>
  <c r="M242" i="2" a="1"/>
  <c r="M242" i="2" s="1"/>
  <c r="M243" i="2" a="1"/>
  <c r="M243" i="2" s="1"/>
  <c r="M244" i="2" a="1"/>
  <c r="M244" i="2" s="1"/>
  <c r="M245" i="2" a="1"/>
  <c r="M245" i="2" s="1"/>
  <c r="M246" i="2" a="1"/>
  <c r="M246" i="2" s="1"/>
  <c r="M247" i="2" a="1"/>
  <c r="M247" i="2" s="1"/>
  <c r="M248" i="2" a="1"/>
  <c r="M248" i="2" s="1"/>
  <c r="M250" i="2" a="1"/>
  <c r="M250" i="2" s="1"/>
  <c r="M251" i="2" a="1"/>
  <c r="M251" i="2" s="1"/>
  <c r="M252" i="2" a="1"/>
  <c r="M252" i="2" s="1"/>
  <c r="M253" i="2" a="1"/>
  <c r="M253" i="2" s="1"/>
  <c r="M254" i="2" a="1"/>
  <c r="M254" i="2" s="1"/>
  <c r="M255" i="2" a="1"/>
  <c r="M255" i="2" s="1"/>
  <c r="M256" i="2" a="1"/>
  <c r="M256" i="2" s="1"/>
  <c r="M257" i="2" a="1"/>
  <c r="M257" i="2" s="1"/>
  <c r="M258" i="2" a="1"/>
  <c r="M258" i="2" s="1"/>
  <c r="M259" i="2" a="1"/>
  <c r="M259" i="2" s="1"/>
  <c r="M260" i="2" a="1"/>
  <c r="M260" i="2" s="1"/>
  <c r="M261" i="2" a="1"/>
  <c r="M261" i="2" s="1"/>
  <c r="M262" i="2" a="1"/>
  <c r="M262" i="2" s="1"/>
  <c r="M263" i="2" a="1"/>
  <c r="M263" i="2" s="1"/>
  <c r="M264" i="2" a="1"/>
  <c r="M264" i="2" s="1"/>
  <c r="M265" i="2" a="1"/>
  <c r="M265" i="2" s="1"/>
  <c r="M266" i="2" a="1"/>
  <c r="M266" i="2" s="1"/>
  <c r="M267" i="2" a="1"/>
  <c r="M267" i="2" s="1"/>
  <c r="M268" i="2" a="1"/>
  <c r="M268" i="2" s="1"/>
  <c r="M269" i="2" a="1"/>
  <c r="M269" i="2" s="1"/>
  <c r="M270" i="2" a="1"/>
  <c r="M270" i="2" s="1"/>
  <c r="M271" i="2" a="1"/>
  <c r="M271" i="2" s="1"/>
  <c r="M272" i="2" a="1"/>
  <c r="M272" i="2" s="1"/>
  <c r="M273" i="2" a="1"/>
  <c r="M273" i="2" s="1"/>
  <c r="M274" i="2" a="1"/>
  <c r="M274" i="2" s="1"/>
  <c r="M275" i="2" a="1"/>
  <c r="M275" i="2" s="1"/>
  <c r="M276" i="2" a="1"/>
  <c r="M276" i="2" s="1"/>
  <c r="M277" i="2" a="1"/>
  <c r="M277" i="2" s="1"/>
  <c r="M278" i="2" a="1"/>
  <c r="M278" i="2" s="1"/>
  <c r="M279" i="2" a="1"/>
  <c r="M279" i="2" s="1"/>
  <c r="M280" i="2" a="1"/>
  <c r="M280" i="2" s="1"/>
  <c r="M281" i="2" a="1"/>
  <c r="M281" i="2" s="1"/>
  <c r="M282" i="2" a="1"/>
  <c r="M282" i="2" s="1"/>
  <c r="M283" i="2" a="1"/>
  <c r="M283" i="2" s="1"/>
  <c r="M284" i="2" a="1"/>
  <c r="M284" i="2" s="1"/>
  <c r="M285" i="2" a="1"/>
  <c r="M285" i="2" s="1"/>
  <c r="M286" i="2" a="1"/>
  <c r="M286" i="2" s="1"/>
  <c r="M288" i="2" a="1"/>
  <c r="M288" i="2" s="1"/>
  <c r="M289" i="2" a="1"/>
  <c r="M289" i="2" s="1"/>
  <c r="M290" i="2" a="1"/>
  <c r="M290" i="2" s="1"/>
  <c r="M291" i="2" a="1"/>
  <c r="M291" i="2" s="1"/>
  <c r="M292" i="2" a="1"/>
  <c r="M292" i="2" s="1"/>
  <c r="M293" i="2" a="1"/>
  <c r="M293" i="2" s="1"/>
  <c r="M294" i="2" a="1"/>
  <c r="M294" i="2" s="1"/>
  <c r="M295" i="2" a="1"/>
  <c r="M295" i="2" s="1"/>
  <c r="M296" i="2" a="1"/>
  <c r="M296" i="2" s="1"/>
  <c r="M297" i="2" a="1"/>
  <c r="M297" i="2" s="1"/>
  <c r="M298" i="2" a="1"/>
  <c r="M298" i="2" s="1"/>
  <c r="M299" i="2" a="1"/>
  <c r="M299" i="2" s="1"/>
  <c r="M300" i="2" a="1"/>
  <c r="M300" i="2" s="1"/>
  <c r="M301" i="2" a="1"/>
  <c r="M301" i="2" s="1"/>
  <c r="M302" i="2" a="1"/>
  <c r="M302" i="2" s="1"/>
  <c r="M304" i="2" a="1"/>
  <c r="M304" i="2" s="1"/>
  <c r="M305" i="2" a="1"/>
  <c r="M305" i="2" s="1"/>
  <c r="M306" i="2" a="1"/>
  <c r="M306" i="2" s="1"/>
  <c r="M307" i="2" a="1"/>
  <c r="M307" i="2" s="1"/>
  <c r="M308" i="2" a="1"/>
  <c r="M308" i="2" s="1"/>
  <c r="M309" i="2" a="1"/>
  <c r="M309" i="2" s="1"/>
  <c r="M310" i="2" a="1"/>
  <c r="M310" i="2" s="1"/>
  <c r="M311" i="2" a="1"/>
  <c r="M311" i="2" s="1"/>
  <c r="M313" i="2" a="1"/>
  <c r="M313" i="2" s="1"/>
  <c r="M314" i="2" a="1"/>
  <c r="M314" i="2" s="1"/>
  <c r="M315" i="2" a="1"/>
  <c r="M315" i="2" s="1"/>
  <c r="M316" i="2" a="1"/>
  <c r="M316" i="2" s="1"/>
  <c r="M317" i="2" a="1"/>
  <c r="M317" i="2" s="1"/>
  <c r="M318" i="2" a="1"/>
  <c r="M318" i="2" s="1"/>
  <c r="M320" i="2" a="1"/>
  <c r="M320" i="2" s="1"/>
  <c r="M321" i="2" a="1"/>
  <c r="M321" i="2" s="1"/>
  <c r="M322" i="2" a="1"/>
  <c r="M322" i="2" s="1"/>
  <c r="M323" i="2" a="1"/>
  <c r="M323" i="2" s="1"/>
  <c r="M324" i="2" a="1"/>
  <c r="M324" i="2" s="1"/>
  <c r="M325" i="2" a="1"/>
  <c r="M325" i="2" s="1"/>
  <c r="M326" i="2" a="1"/>
  <c r="M326" i="2" s="1"/>
  <c r="M327" i="2" a="1"/>
  <c r="M327" i="2" s="1"/>
  <c r="M328" i="2" a="1"/>
  <c r="M328" i="2" s="1"/>
  <c r="M329" i="2" a="1"/>
  <c r="M329" i="2" s="1"/>
  <c r="M330" i="2" a="1"/>
  <c r="M330" i="2" s="1"/>
  <c r="M331" i="2" a="1"/>
  <c r="M331" i="2" s="1"/>
  <c r="M332" i="2" a="1"/>
  <c r="M332" i="2" s="1"/>
  <c r="M333" i="2" a="1"/>
  <c r="M333" i="2" s="1"/>
  <c r="M334" i="2" a="1"/>
  <c r="M334" i="2" s="1"/>
  <c r="M335" i="2" a="1"/>
  <c r="M335" i="2" s="1"/>
  <c r="M336" i="2" a="1"/>
  <c r="M336" i="2" s="1"/>
  <c r="M337" i="2" a="1"/>
  <c r="M337" i="2" s="1"/>
  <c r="M338" i="2" a="1"/>
  <c r="M338" i="2" s="1"/>
  <c r="M339" i="2" a="1"/>
  <c r="M339" i="2" s="1"/>
  <c r="M340" i="2" a="1"/>
  <c r="M340" i="2" s="1"/>
  <c r="M341" i="2" a="1"/>
  <c r="M341" i="2" s="1"/>
  <c r="M342" i="2" a="1"/>
  <c r="M342" i="2" s="1"/>
  <c r="M343" i="2" a="1"/>
  <c r="M343" i="2" s="1"/>
  <c r="M344" i="2" a="1"/>
  <c r="M344" i="2" s="1"/>
  <c r="M345" i="2" a="1"/>
  <c r="M345" i="2" s="1"/>
  <c r="M346" i="2" a="1"/>
  <c r="M346" i="2" s="1"/>
  <c r="M347" i="2" a="1"/>
  <c r="M347" i="2" s="1"/>
  <c r="M348" i="2" a="1"/>
  <c r="M348" i="2" s="1"/>
  <c r="M349" i="2" a="1"/>
  <c r="M349" i="2" s="1"/>
  <c r="M350" i="2" a="1"/>
  <c r="M350" i="2" s="1"/>
  <c r="M351" i="2" a="1"/>
  <c r="M351" i="2" s="1"/>
  <c r="M352" i="2" a="1"/>
  <c r="M352" i="2" s="1"/>
  <c r="M354" i="2" a="1"/>
  <c r="M354" i="2" s="1"/>
  <c r="M355" i="2" a="1"/>
  <c r="M355" i="2" s="1"/>
  <c r="M356" i="2" a="1"/>
  <c r="M356" i="2" s="1"/>
  <c r="M358" i="2" a="1"/>
  <c r="M358" i="2" s="1"/>
  <c r="M359" i="2" a="1"/>
  <c r="M359" i="2" s="1"/>
  <c r="M360" i="2" a="1"/>
  <c r="M360" i="2" s="1"/>
  <c r="M361" i="2" a="1"/>
  <c r="M361" i="2" s="1"/>
  <c r="M362" i="2" a="1"/>
  <c r="M362" i="2" s="1"/>
  <c r="M363" i="2" a="1"/>
  <c r="M363" i="2" s="1"/>
  <c r="M364" i="2" a="1"/>
  <c r="M364" i="2" s="1"/>
  <c r="M365" i="2" a="1"/>
  <c r="M365" i="2" s="1"/>
  <c r="M366" i="2" a="1"/>
  <c r="M366" i="2" s="1"/>
  <c r="M367" i="2" a="1"/>
  <c r="M367" i="2" s="1"/>
  <c r="M368" i="2" a="1"/>
  <c r="M368" i="2" s="1"/>
  <c r="M369" i="2" a="1"/>
  <c r="M369" i="2" s="1"/>
  <c r="M370" i="2" a="1"/>
  <c r="M370" i="2" s="1"/>
  <c r="M372" i="2" a="1"/>
  <c r="M372" i="2" s="1"/>
  <c r="M373" i="2" a="1"/>
  <c r="M373" i="2" s="1"/>
  <c r="M374" i="2" a="1"/>
  <c r="M374" i="2" s="1"/>
  <c r="M375" i="2" a="1"/>
  <c r="M375" i="2" s="1"/>
  <c r="M376" i="2" a="1"/>
  <c r="M376" i="2" s="1"/>
  <c r="M378" i="2" a="1"/>
  <c r="M378" i="2" s="1"/>
  <c r="M379" i="2" a="1"/>
  <c r="M379" i="2" s="1"/>
  <c r="M380" i="2" a="1"/>
  <c r="M380" i="2" s="1"/>
  <c r="M383" i="2" a="1"/>
  <c r="M383" i="2" s="1"/>
  <c r="M384" i="2" a="1"/>
  <c r="M384" i="2" s="1"/>
  <c r="M385" i="2" a="1"/>
  <c r="M385" i="2" s="1"/>
  <c r="M386" i="2" a="1"/>
  <c r="M386" i="2" s="1"/>
  <c r="M387" i="2" a="1"/>
  <c r="M387" i="2" s="1"/>
  <c r="M388" i="2" a="1"/>
  <c r="M388" i="2" s="1"/>
  <c r="M389" i="2" a="1"/>
  <c r="M389" i="2" s="1"/>
  <c r="M391" i="2" a="1"/>
  <c r="M391" i="2" s="1"/>
  <c r="M392" i="2" a="1"/>
  <c r="M392" i="2" s="1"/>
  <c r="M393" i="2" a="1"/>
  <c r="M393" i="2" s="1"/>
  <c r="M394" i="2" a="1"/>
  <c r="M394" i="2" s="1"/>
  <c r="M395" i="2" a="1"/>
  <c r="M395" i="2" s="1"/>
  <c r="M396" i="2" a="1"/>
  <c r="M396" i="2" s="1"/>
  <c r="M397" i="2" a="1"/>
  <c r="M397" i="2" s="1"/>
  <c r="M398" i="2" a="1"/>
  <c r="M398" i="2" s="1"/>
  <c r="M399" i="2" a="1"/>
  <c r="M399" i="2" s="1"/>
  <c r="M400" i="2" a="1"/>
  <c r="M400" i="2" s="1"/>
  <c r="M401" i="2" a="1"/>
  <c r="M401" i="2" s="1"/>
  <c r="M402" i="2" a="1"/>
  <c r="M402" i="2" s="1"/>
  <c r="M403" i="2" a="1"/>
  <c r="M403" i="2" s="1"/>
  <c r="M404" i="2" a="1"/>
  <c r="M404" i="2" s="1"/>
  <c r="M406" i="2" a="1"/>
  <c r="M406" i="2" s="1"/>
  <c r="M407" i="2" a="1"/>
  <c r="M407" i="2" s="1"/>
  <c r="M408" i="2" a="1"/>
  <c r="M408" i="2" s="1"/>
  <c r="M409" i="2" a="1"/>
  <c r="M409" i="2" s="1"/>
  <c r="M410" i="2" a="1"/>
  <c r="M410" i="2" s="1"/>
  <c r="M411" i="2" a="1"/>
  <c r="M411" i="2" s="1"/>
  <c r="M412" i="2" a="1"/>
  <c r="M412" i="2" s="1"/>
  <c r="M413" i="2" a="1"/>
  <c r="M413" i="2" s="1"/>
  <c r="M414" i="2" a="1"/>
  <c r="M414" i="2" s="1"/>
  <c r="M415" i="2" a="1"/>
  <c r="M415" i="2" s="1"/>
  <c r="M416" i="2" a="1"/>
  <c r="M416" i="2" s="1"/>
  <c r="M417" i="2" a="1"/>
  <c r="M417" i="2" s="1"/>
  <c r="M418" i="2" a="1"/>
  <c r="M418" i="2" s="1"/>
  <c r="M419" i="2" a="1"/>
  <c r="M419" i="2" s="1"/>
  <c r="M420" i="2" a="1"/>
  <c r="M420" i="2" s="1"/>
  <c r="M421" i="2" a="1"/>
  <c r="M421" i="2" s="1"/>
  <c r="M422" i="2" a="1"/>
  <c r="M422" i="2" s="1"/>
  <c r="M423" i="2" a="1"/>
  <c r="M423" i="2" s="1"/>
  <c r="M424" i="2" a="1"/>
  <c r="M424" i="2" s="1"/>
  <c r="M425" i="2" a="1"/>
  <c r="M425" i="2" s="1"/>
  <c r="M426" i="2" a="1"/>
  <c r="M426" i="2" s="1"/>
  <c r="M427" i="2" a="1"/>
  <c r="M427" i="2" s="1"/>
  <c r="M429" i="2" a="1"/>
  <c r="M429" i="2" s="1"/>
  <c r="M431" i="2" a="1"/>
  <c r="M431" i="2" s="1"/>
  <c r="M432" i="2" a="1"/>
  <c r="M432" i="2" s="1"/>
  <c r="M433" i="2" a="1"/>
  <c r="M433" i="2" s="1"/>
  <c r="M434" i="2" a="1"/>
  <c r="M434" i="2" s="1"/>
  <c r="M435" i="2" a="1"/>
  <c r="M435" i="2" s="1"/>
  <c r="M436" i="2" a="1"/>
  <c r="M436" i="2" s="1"/>
  <c r="M438" i="2" a="1"/>
  <c r="M438" i="2" s="1"/>
  <c r="M439" i="2" a="1"/>
  <c r="M439" i="2" s="1"/>
  <c r="M440" i="2" a="1"/>
  <c r="M440" i="2" s="1"/>
  <c r="M441" i="2" a="1"/>
  <c r="M441" i="2" s="1"/>
  <c r="M442" i="2" a="1"/>
  <c r="M442" i="2" s="1"/>
  <c r="M443" i="2" a="1"/>
  <c r="M443" i="2" s="1"/>
  <c r="M444" i="2" a="1"/>
  <c r="M444" i="2" s="1"/>
  <c r="M445" i="2" a="1"/>
  <c r="M445" i="2" s="1"/>
  <c r="M446" i="2" a="1"/>
  <c r="M446" i="2" s="1"/>
  <c r="M447" i="2" a="1"/>
  <c r="M447" i="2" s="1"/>
  <c r="M448" i="2" a="1"/>
  <c r="M448" i="2" s="1"/>
  <c r="M449" i="2" a="1"/>
  <c r="M449" i="2" s="1"/>
  <c r="M451" i="2" a="1"/>
  <c r="M451" i="2" s="1"/>
  <c r="M452" i="2" a="1"/>
  <c r="M452" i="2" s="1"/>
  <c r="M453" i="2" a="1"/>
  <c r="M453" i="2" s="1"/>
  <c r="M454" i="2" a="1"/>
  <c r="M454" i="2" s="1"/>
  <c r="M455" i="2" a="1"/>
  <c r="M455" i="2" s="1"/>
  <c r="M456" i="2" a="1"/>
  <c r="M456" i="2" s="1"/>
  <c r="M457" i="2" a="1"/>
  <c r="M457" i="2" s="1"/>
  <c r="M458" i="2" a="1"/>
  <c r="M458" i="2" s="1"/>
  <c r="M459" i="2" a="1"/>
  <c r="M459" i="2" s="1"/>
  <c r="M460" i="2" a="1"/>
  <c r="M460" i="2" s="1"/>
  <c r="M461" i="2" a="1"/>
  <c r="M461" i="2" s="1"/>
  <c r="M462" i="2" a="1"/>
  <c r="M462" i="2" s="1"/>
  <c r="M463" i="2" a="1"/>
  <c r="M463" i="2" s="1"/>
  <c r="M465" i="2" a="1"/>
  <c r="M465" i="2" s="1"/>
  <c r="M466" i="2" a="1"/>
  <c r="M466" i="2" s="1"/>
  <c r="M467" i="2" a="1"/>
  <c r="M467" i="2" s="1"/>
  <c r="M468" i="2" a="1"/>
  <c r="M468" i="2" s="1"/>
  <c r="M469" i="2" a="1"/>
  <c r="M469" i="2" s="1"/>
  <c r="M470" i="2" a="1"/>
  <c r="M470" i="2" s="1"/>
  <c r="M471" i="2" a="1"/>
  <c r="M471" i="2" s="1"/>
  <c r="M472" i="2" a="1"/>
  <c r="M472" i="2" s="1"/>
  <c r="M473" i="2" a="1"/>
  <c r="M473" i="2" s="1"/>
  <c r="M474" i="2" a="1"/>
  <c r="M474" i="2" s="1"/>
  <c r="M476" i="2" a="1"/>
  <c r="M476" i="2" s="1"/>
  <c r="M477" i="2" a="1"/>
  <c r="M477" i="2" s="1"/>
  <c r="M478" i="2" a="1"/>
  <c r="M478" i="2" s="1"/>
  <c r="M479" i="2" a="1"/>
  <c r="M479" i="2" s="1"/>
  <c r="M480" i="2" a="1"/>
  <c r="M480" i="2" s="1"/>
  <c r="M481" i="2" a="1"/>
  <c r="M481" i="2" s="1"/>
  <c r="M482" i="2" a="1"/>
  <c r="M482" i="2" s="1"/>
  <c r="M483" i="2" a="1"/>
  <c r="M483" i="2" s="1"/>
  <c r="M484" i="2" a="1"/>
  <c r="M484" i="2" s="1"/>
  <c r="M485" i="2" a="1"/>
  <c r="M485" i="2" s="1"/>
  <c r="M486" i="2" a="1"/>
  <c r="M486" i="2" s="1"/>
  <c r="M487" i="2" a="1"/>
  <c r="M487" i="2" s="1"/>
  <c r="M488" i="2" a="1"/>
  <c r="M488" i="2" s="1"/>
  <c r="M489" i="2" a="1"/>
  <c r="M489" i="2" s="1"/>
  <c r="M490" i="2" a="1"/>
  <c r="M490" i="2" s="1"/>
  <c r="M491" i="2" a="1"/>
  <c r="M491" i="2" s="1"/>
  <c r="M493" i="2" a="1"/>
  <c r="M493" i="2" s="1"/>
  <c r="M494" i="2" a="1"/>
  <c r="M494" i="2" s="1"/>
  <c r="M495" i="2" a="1"/>
  <c r="M495" i="2" s="1"/>
  <c r="M496" i="2" a="1"/>
  <c r="M496" i="2" s="1"/>
  <c r="M497" i="2" a="1"/>
  <c r="M497" i="2" s="1"/>
  <c r="M499" i="2" a="1"/>
  <c r="M499" i="2" s="1"/>
  <c r="M500" i="2" a="1"/>
  <c r="M500" i="2" s="1"/>
  <c r="M501" i="2" a="1"/>
  <c r="M501" i="2" s="1"/>
  <c r="M502" i="2" a="1"/>
  <c r="M502" i="2" s="1"/>
  <c r="M503" i="2" a="1"/>
  <c r="M503" i="2" s="1"/>
  <c r="M504" i="2" a="1"/>
  <c r="M504" i="2" s="1"/>
  <c r="M505" i="2" a="1"/>
  <c r="M505" i="2" s="1"/>
  <c r="M506" i="2" a="1"/>
  <c r="M506" i="2" s="1"/>
  <c r="M507" i="2" a="1"/>
  <c r="M507" i="2" s="1"/>
  <c r="M508" i="2" a="1"/>
  <c r="M508" i="2" s="1"/>
  <c r="M509" i="2" a="1"/>
  <c r="M509" i="2" s="1"/>
  <c r="M510" i="2" a="1"/>
  <c r="M510" i="2" s="1"/>
  <c r="M511" i="2" a="1"/>
  <c r="M511" i="2" s="1"/>
  <c r="M512" i="2" a="1"/>
  <c r="M512" i="2" s="1"/>
  <c r="M513" i="2" a="1"/>
  <c r="M513" i="2" s="1"/>
  <c r="M514" i="2" a="1"/>
  <c r="M514" i="2" s="1"/>
  <c r="M515" i="2" a="1"/>
  <c r="M515" i="2" s="1"/>
  <c r="M516" i="2" a="1"/>
  <c r="M516" i="2" s="1"/>
  <c r="M517" i="2" a="1"/>
  <c r="M517" i="2" s="1"/>
  <c r="M518" i="2" a="1"/>
  <c r="M518" i="2" s="1"/>
  <c r="M520" i="2" a="1"/>
  <c r="M520" i="2" s="1"/>
  <c r="M521" i="2" a="1"/>
  <c r="M521" i="2" s="1"/>
  <c r="M522" i="2" a="1"/>
  <c r="M522" i="2" s="1"/>
  <c r="M523" i="2" a="1"/>
  <c r="M523" i="2" s="1"/>
  <c r="M524" i="2" a="1"/>
  <c r="M524" i="2" s="1"/>
  <c r="M525" i="2" a="1"/>
  <c r="M525" i="2" s="1"/>
  <c r="M526" i="2" a="1"/>
  <c r="M526" i="2" s="1"/>
  <c r="M527" i="2" a="1"/>
  <c r="M527" i="2" s="1"/>
  <c r="M528" i="2" a="1"/>
  <c r="M528" i="2" s="1"/>
  <c r="M529" i="2" a="1"/>
  <c r="M529" i="2" s="1"/>
  <c r="M530" i="2" a="1"/>
  <c r="M530" i="2" s="1"/>
  <c r="M531" i="2" a="1"/>
  <c r="M531" i="2" s="1"/>
  <c r="M532" i="2" a="1"/>
  <c r="M532" i="2" s="1"/>
  <c r="M533" i="2" a="1"/>
  <c r="M533" i="2" s="1"/>
  <c r="M534" i="2" a="1"/>
  <c r="M534" i="2" s="1"/>
  <c r="M535" i="2" a="1"/>
  <c r="M535" i="2" s="1"/>
  <c r="M536" i="2" a="1"/>
  <c r="M536" i="2" s="1"/>
  <c r="M537" i="2" a="1"/>
  <c r="M537" i="2" s="1"/>
  <c r="M538" i="2" a="1"/>
  <c r="M538" i="2" s="1"/>
  <c r="M539" i="2" a="1"/>
  <c r="M539" i="2" s="1"/>
  <c r="M540" i="2" a="1"/>
  <c r="M540" i="2" s="1"/>
  <c r="M541" i="2" a="1"/>
  <c r="M541" i="2" s="1"/>
  <c r="M542" i="2" a="1"/>
  <c r="M542" i="2" s="1"/>
  <c r="M543" i="2" a="1"/>
  <c r="M543" i="2" s="1"/>
  <c r="M544" i="2" a="1"/>
  <c r="M544" i="2" s="1"/>
  <c r="M545" i="2" a="1"/>
  <c r="M545" i="2" s="1"/>
  <c r="M546" i="2" a="1"/>
  <c r="M546" i="2" s="1"/>
  <c r="M547" i="2" a="1"/>
  <c r="M547" i="2" s="1"/>
  <c r="M548" i="2" a="1"/>
  <c r="M548" i="2" s="1"/>
  <c r="M550" i="2" a="1"/>
  <c r="M550" i="2" s="1"/>
  <c r="M551" i="2" a="1"/>
  <c r="M551" i="2" s="1"/>
  <c r="M552" i="2" a="1"/>
  <c r="M552" i="2" s="1"/>
  <c r="M553" i="2" a="1"/>
  <c r="M553" i="2" s="1"/>
  <c r="M554" i="2" a="1"/>
  <c r="M554" i="2" s="1"/>
  <c r="M555" i="2" a="1"/>
  <c r="M555" i="2" s="1"/>
  <c r="M556" i="2" a="1"/>
  <c r="M556" i="2" s="1"/>
  <c r="M557" i="2" a="1"/>
  <c r="M557" i="2" s="1"/>
  <c r="M558" i="2" a="1"/>
  <c r="M558" i="2" s="1"/>
  <c r="M559" i="2" a="1"/>
  <c r="M559" i="2" s="1"/>
  <c r="M560" i="2" a="1"/>
  <c r="M560" i="2" s="1"/>
  <c r="M561" i="2" a="1"/>
  <c r="M561" i="2" s="1"/>
  <c r="M562" i="2" a="1"/>
  <c r="M562" i="2" s="1"/>
  <c r="M563" i="2" a="1"/>
  <c r="M563" i="2" s="1"/>
  <c r="M564" i="2" a="1"/>
  <c r="M564" i="2" s="1"/>
  <c r="M565" i="2" a="1"/>
  <c r="M565" i="2" s="1"/>
  <c r="M566" i="2" a="1"/>
  <c r="M566" i="2" s="1"/>
  <c r="M567" i="2" a="1"/>
  <c r="M567" i="2" s="1"/>
  <c r="M568" i="2" a="1"/>
  <c r="M568" i="2" s="1"/>
  <c r="M569" i="2" a="1"/>
  <c r="M569" i="2" s="1"/>
  <c r="M570" i="2" a="1"/>
  <c r="M570" i="2" s="1"/>
  <c r="M571" i="2" a="1"/>
  <c r="M571" i="2" s="1"/>
  <c r="M572" i="2" a="1"/>
  <c r="M572" i="2" s="1"/>
  <c r="M573" i="2" a="1"/>
  <c r="M573" i="2" s="1"/>
  <c r="M574" i="2" a="1"/>
  <c r="M574" i="2" s="1"/>
  <c r="M575" i="2" a="1"/>
  <c r="M575" i="2" s="1"/>
  <c r="M576" i="2" a="1"/>
  <c r="M576" i="2" s="1"/>
  <c r="M577" i="2" a="1"/>
  <c r="M577" i="2" s="1"/>
  <c r="M578" i="2" a="1"/>
  <c r="M578" i="2" s="1"/>
  <c r="M579" i="2" a="1"/>
  <c r="M579" i="2" s="1"/>
  <c r="M580" i="2" a="1"/>
  <c r="M580" i="2" s="1"/>
  <c r="M582" i="2" a="1"/>
  <c r="M582" i="2" s="1"/>
  <c r="M583" i="2" a="1"/>
  <c r="M583" i="2" s="1"/>
  <c r="M584" i="2" a="1"/>
  <c r="M584" i="2" s="1"/>
  <c r="M585" i="2" a="1"/>
  <c r="M585" i="2" s="1"/>
  <c r="M586" i="2" a="1"/>
  <c r="M586" i="2" s="1"/>
  <c r="M587" i="2" a="1"/>
  <c r="M587" i="2" s="1"/>
  <c r="M588" i="2" a="1"/>
  <c r="M588" i="2" s="1"/>
  <c r="M589" i="2" a="1"/>
  <c r="M589" i="2" s="1"/>
  <c r="M590" i="2" a="1"/>
  <c r="M590" i="2" s="1"/>
  <c r="M591" i="2" a="1"/>
  <c r="M591" i="2" s="1"/>
  <c r="M592" i="2" a="1"/>
  <c r="M592" i="2" s="1"/>
  <c r="M593" i="2" a="1"/>
  <c r="M593" i="2" s="1"/>
  <c r="M594" i="2" a="1"/>
  <c r="M594" i="2" s="1"/>
  <c r="M595" i="2" a="1"/>
  <c r="M595" i="2" s="1"/>
  <c r="M596" i="2" a="1"/>
  <c r="M596" i="2" s="1"/>
  <c r="M597" i="2" a="1"/>
  <c r="M597" i="2" s="1"/>
  <c r="M598" i="2" a="1"/>
  <c r="M598" i="2" s="1"/>
  <c r="M599" i="2" a="1"/>
  <c r="M599" i="2" s="1"/>
  <c r="M600" i="2" a="1"/>
  <c r="M600" i="2" s="1"/>
  <c r="M601" i="2" a="1"/>
  <c r="M601" i="2" s="1"/>
  <c r="M602" i="2" a="1"/>
  <c r="M602" i="2" s="1"/>
  <c r="M603" i="2" a="1"/>
  <c r="M603" i="2" s="1"/>
  <c r="M605" i="2" a="1"/>
  <c r="M605" i="2" s="1"/>
  <c r="M606" i="2" a="1"/>
  <c r="M606" i="2" s="1"/>
  <c r="M608" i="2" a="1"/>
  <c r="M608" i="2" s="1"/>
  <c r="M609" i="2" a="1"/>
  <c r="M609" i="2" s="1"/>
  <c r="M610" i="2" a="1"/>
  <c r="M610" i="2" s="1"/>
  <c r="M611" i="2" a="1"/>
  <c r="M611" i="2" s="1"/>
  <c r="M612" i="2" a="1"/>
  <c r="M612" i="2" s="1"/>
  <c r="M614" i="2" a="1"/>
  <c r="M614" i="2" s="1"/>
  <c r="M615" i="2" a="1"/>
  <c r="M615" i="2" s="1"/>
  <c r="M616" i="2" a="1"/>
  <c r="M616" i="2" s="1"/>
  <c r="M617" i="2" a="1"/>
  <c r="M617" i="2" s="1"/>
  <c r="M618" i="2" a="1"/>
  <c r="M618" i="2" s="1"/>
  <c r="M619" i="2" a="1"/>
  <c r="M619" i="2"/>
  <c r="M620" i="2" a="1"/>
  <c r="M620" i="2"/>
  <c r="M622" i="2" a="1"/>
  <c r="M622" i="2"/>
  <c r="M624" i="2" a="1"/>
  <c r="M624" i="2"/>
  <c r="M626" i="2" a="1"/>
  <c r="M626" i="2"/>
  <c r="M627" i="2" a="1"/>
  <c r="M627" i="2"/>
  <c r="M629" i="2" a="1"/>
  <c r="M629" i="2"/>
  <c r="M630" i="2" a="1"/>
  <c r="M630" i="2"/>
  <c r="M631" i="2" a="1"/>
  <c r="M631" i="2"/>
  <c r="M632" i="2" a="1"/>
  <c r="M632" i="2"/>
  <c r="M633" i="2" a="1"/>
  <c r="M633" i="2"/>
  <c r="M634" i="2" a="1"/>
  <c r="M634" i="2"/>
  <c r="M635" i="2" a="1"/>
  <c r="M635" i="2"/>
  <c r="M636" i="2" a="1"/>
  <c r="M636" i="2"/>
  <c r="M637" i="2" a="1"/>
  <c r="M637" i="2"/>
  <c r="M639" i="2" a="1"/>
  <c r="M639" i="2"/>
  <c r="M640" i="2" a="1"/>
  <c r="M640" i="2"/>
  <c r="M641" i="2" a="1"/>
  <c r="M641" i="2"/>
  <c r="M642" i="2" a="1"/>
  <c r="M642" i="2"/>
  <c r="M643" i="2" a="1"/>
  <c r="M643" i="2"/>
  <c r="M644" i="2" a="1"/>
  <c r="M644" i="2"/>
  <c r="M646" i="2" a="1"/>
  <c r="M646" i="2"/>
  <c r="M647" i="2" a="1"/>
  <c r="M647" i="2"/>
  <c r="M648" i="2" a="1"/>
  <c r="M648" i="2"/>
  <c r="M649" i="2" a="1"/>
  <c r="M649" i="2"/>
  <c r="M650" i="2" a="1"/>
  <c r="M650" i="2"/>
  <c r="M651" i="2" a="1"/>
  <c r="M651" i="2"/>
  <c r="M652" i="2" a="1"/>
  <c r="M652" i="2"/>
  <c r="M653" i="2" a="1"/>
  <c r="M653" i="2"/>
  <c r="M654" i="2" a="1"/>
  <c r="M654" i="2"/>
  <c r="M656" i="2" a="1"/>
  <c r="M656" i="2"/>
  <c r="M657" i="2" a="1"/>
  <c r="M657" i="2"/>
  <c r="M658" i="2" a="1"/>
  <c r="M658" i="2"/>
  <c r="M659" i="2" a="1"/>
  <c r="M659" i="2"/>
  <c r="M661" i="2" a="1"/>
  <c r="M661" i="2"/>
  <c r="M662" i="2" a="1"/>
  <c r="M662" i="2"/>
  <c r="M663" i="2" a="1"/>
  <c r="M663" i="2"/>
  <c r="M665" i="2" a="1"/>
  <c r="M665" i="2"/>
  <c r="M666" i="2" a="1"/>
  <c r="M666" i="2"/>
  <c r="M667" i="2" a="1"/>
  <c r="M667" i="2"/>
  <c r="M668" i="2" a="1"/>
  <c r="M668" i="2"/>
  <c r="M669" i="2" a="1"/>
  <c r="M669" i="2"/>
  <c r="M670" i="2" a="1"/>
  <c r="M670" i="2"/>
  <c r="M671" i="2" a="1"/>
  <c r="M671" i="2"/>
  <c r="M672" i="2" a="1"/>
  <c r="M672" i="2"/>
  <c r="M673" i="2" a="1"/>
  <c r="M673" i="2"/>
  <c r="M674" i="2" a="1"/>
  <c r="M674" i="2"/>
  <c r="M675" i="2" a="1"/>
  <c r="M675" i="2"/>
  <c r="M676" i="2" a="1"/>
  <c r="M676" i="2"/>
  <c r="M677" i="2" a="1"/>
  <c r="M677" i="2"/>
  <c r="M678" i="2" a="1"/>
  <c r="M678" i="2"/>
  <c r="M681" i="2" a="1"/>
  <c r="M681" i="2"/>
  <c r="M682" i="2" a="1"/>
  <c r="M682" i="2"/>
  <c r="M683" i="2" a="1"/>
  <c r="M683" i="2"/>
  <c r="M684" i="2" a="1"/>
  <c r="M684" i="2"/>
  <c r="M685" i="2" a="1"/>
  <c r="M685" i="2"/>
  <c r="M686" i="2" a="1"/>
  <c r="M686" i="2"/>
  <c r="M687" i="2" a="1"/>
  <c r="M687" i="2"/>
  <c r="M688" i="2" a="1"/>
  <c r="M688" i="2"/>
  <c r="M689" i="2" a="1"/>
  <c r="M689" i="2"/>
  <c r="M690" i="2" a="1"/>
  <c r="M690" i="2"/>
  <c r="M691" i="2" a="1"/>
  <c r="M691" i="2"/>
  <c r="M692" i="2" a="1"/>
  <c r="M692" i="2"/>
  <c r="M693" i="2" a="1"/>
  <c r="M693" i="2"/>
  <c r="M694" i="2" a="1"/>
  <c r="M694" i="2"/>
  <c r="M695" i="2" a="1"/>
  <c r="M695" i="2"/>
  <c r="M696" i="2" a="1"/>
  <c r="M696" i="2"/>
  <c r="M697" i="2" a="1"/>
  <c r="M697" i="2"/>
  <c r="M698" i="2" a="1"/>
  <c r="M698" i="2"/>
  <c r="M699" i="2" a="1"/>
  <c r="M699" i="2"/>
  <c r="M700" i="2" a="1"/>
  <c r="M700" i="2"/>
  <c r="M702" i="2" a="1"/>
  <c r="M702" i="2"/>
  <c r="M703" i="2" a="1"/>
  <c r="M703" i="2"/>
  <c r="M704" i="2" a="1"/>
  <c r="M704" i="2"/>
  <c r="M705" i="2" a="1"/>
  <c r="M705" i="2"/>
  <c r="M706" i="2" a="1"/>
  <c r="M706" i="2"/>
  <c r="M707" i="2" a="1"/>
  <c r="M707" i="2"/>
  <c r="M708" i="2" a="1"/>
  <c r="M708" i="2"/>
  <c r="M709" i="2" a="1"/>
  <c r="M709" i="2"/>
  <c r="M710" i="2" a="1"/>
  <c r="M710" i="2"/>
  <c r="M711" i="2" a="1"/>
  <c r="M711" i="2"/>
  <c r="M712" i="2" a="1"/>
  <c r="M712" i="2"/>
  <c r="M713" i="2" a="1"/>
  <c r="M713" i="2"/>
  <c r="M714" i="2" a="1"/>
  <c r="M714" i="2"/>
  <c r="M715" i="2" a="1"/>
  <c r="M715" i="2"/>
  <c r="M716" i="2" a="1"/>
  <c r="M716" i="2"/>
  <c r="M717" i="2" a="1"/>
  <c r="M717" i="2"/>
  <c r="M718" i="2" a="1"/>
  <c r="M718" i="2"/>
  <c r="M719" i="2" a="1"/>
  <c r="M719" i="2"/>
  <c r="M720" i="2" a="1"/>
  <c r="M720" i="2"/>
  <c r="M721" i="2" a="1"/>
  <c r="M721" i="2"/>
  <c r="M722" i="2" a="1"/>
  <c r="M722" i="2"/>
  <c r="M723" i="2" a="1"/>
  <c r="M723" i="2"/>
  <c r="M725" i="2" a="1"/>
  <c r="M725" i="2"/>
  <c r="M726" i="2" a="1"/>
  <c r="M726" i="2"/>
  <c r="M727" i="2" a="1"/>
  <c r="M727" i="2"/>
  <c r="M728" i="2" a="1"/>
  <c r="M728" i="2"/>
  <c r="M729" i="2" a="1"/>
  <c r="M729" i="2"/>
  <c r="M730" i="2" a="1"/>
  <c r="M730" i="2"/>
  <c r="M731" i="2" a="1"/>
  <c r="M731" i="2"/>
  <c r="M732" i="2" a="1"/>
  <c r="M732" i="2"/>
  <c r="M734" i="2" a="1"/>
  <c r="M734" i="2" s="1"/>
  <c r="M735" i="2" a="1"/>
  <c r="M735" i="2" s="1"/>
  <c r="M736" i="2" a="1"/>
  <c r="M736" i="2" s="1"/>
  <c r="M737" i="2" a="1"/>
  <c r="M737" i="2" s="1"/>
  <c r="M738" i="2" a="1"/>
  <c r="M738" i="2" s="1"/>
  <c r="M739" i="2" a="1"/>
  <c r="M739" i="2" s="1"/>
  <c r="M740" i="2" a="1"/>
  <c r="M740" i="2" s="1"/>
  <c r="M742" i="2" a="1"/>
  <c r="M742" i="2" s="1"/>
  <c r="M743" i="2" a="1"/>
  <c r="M743" i="2" s="1"/>
  <c r="M744" i="2" a="1"/>
  <c r="M744" i="2" s="1"/>
  <c r="M745" i="2" a="1"/>
  <c r="M745" i="2" s="1"/>
  <c r="M746" i="2" a="1"/>
  <c r="M746" i="2" s="1"/>
  <c r="M748" i="2" a="1"/>
  <c r="M748" i="2" s="1"/>
  <c r="M749" i="2" a="1"/>
  <c r="M749" i="2" s="1"/>
  <c r="M750" i="2" a="1"/>
  <c r="M750" i="2" s="1"/>
  <c r="M751" i="2" a="1"/>
  <c r="M751" i="2" s="1"/>
  <c r="M752" i="2" a="1"/>
  <c r="M752" i="2" s="1"/>
  <c r="M753" i="2" a="1"/>
  <c r="M753" i="2" s="1"/>
  <c r="M754" i="2" a="1"/>
  <c r="M754" i="2" s="1"/>
  <c r="M755" i="2" a="1"/>
  <c r="M755" i="2" s="1"/>
  <c r="M756" i="2" a="1"/>
  <c r="M756" i="2" s="1"/>
  <c r="M757" i="2" a="1"/>
  <c r="M757" i="2" s="1"/>
  <c r="M759" i="2" a="1"/>
  <c r="M759" i="2" s="1"/>
  <c r="M760" i="2" a="1"/>
  <c r="M760" i="2" s="1"/>
  <c r="M761" i="2" a="1"/>
  <c r="M761" i="2" s="1"/>
  <c r="M762" i="2" a="1"/>
  <c r="M762" i="2" s="1"/>
  <c r="M763" i="2" a="1"/>
  <c r="M763" i="2" s="1"/>
  <c r="M764" i="2" a="1"/>
  <c r="M764" i="2" s="1"/>
  <c r="M765" i="2" a="1"/>
  <c r="M765" i="2" s="1"/>
  <c r="M766" i="2" a="1"/>
  <c r="M766" i="2" s="1"/>
  <c r="M767" i="2" a="1"/>
  <c r="M767" i="2" s="1"/>
  <c r="M768" i="2" a="1"/>
  <c r="M768" i="2" s="1"/>
  <c r="M769" i="2" a="1"/>
  <c r="M769" i="2" s="1"/>
  <c r="M770" i="2" a="1"/>
  <c r="M770" i="2" s="1"/>
  <c r="M772" i="2" a="1"/>
  <c r="M772" i="2" s="1"/>
  <c r="M773" i="2" a="1"/>
  <c r="M773" i="2" s="1"/>
  <c r="M774" i="2" a="1"/>
  <c r="M774" i="2" s="1"/>
  <c r="M775" i="2" a="1"/>
  <c r="M775" i="2" s="1"/>
  <c r="M776" i="2" a="1"/>
  <c r="M776" i="2" s="1"/>
  <c r="M777" i="2" a="1"/>
  <c r="M777" i="2" s="1"/>
  <c r="M778" i="2" a="1"/>
  <c r="M778" i="2" s="1"/>
  <c r="M779" i="2" a="1"/>
  <c r="M779" i="2" s="1"/>
  <c r="M780" i="2" a="1"/>
  <c r="M780" i="2" s="1"/>
  <c r="M781" i="2" a="1"/>
  <c r="M781" i="2" s="1"/>
  <c r="M782" i="2" a="1"/>
  <c r="M782" i="2" s="1"/>
  <c r="M784" i="2" a="1"/>
  <c r="M784" i="2" s="1"/>
  <c r="M785" i="2" a="1"/>
  <c r="M785" i="2" s="1"/>
  <c r="M786" i="2" a="1"/>
  <c r="M786" i="2" s="1"/>
  <c r="M787" i="2" a="1"/>
  <c r="M787" i="2" s="1"/>
  <c r="M788" i="2" a="1"/>
  <c r="M788" i="2" s="1"/>
  <c r="M789" i="2" a="1"/>
  <c r="M789" i="2" s="1"/>
  <c r="M790" i="2" a="1"/>
  <c r="M790" i="2" s="1"/>
  <c r="M791" i="2" a="1"/>
  <c r="M791" i="2" s="1"/>
  <c r="M792" i="2" a="1"/>
  <c r="M792" i="2" s="1"/>
  <c r="M793" i="2" a="1"/>
  <c r="M793" i="2" s="1"/>
  <c r="M794" i="2" a="1"/>
  <c r="M794" i="2" s="1"/>
  <c r="M795" i="2" a="1"/>
  <c r="M795" i="2" s="1"/>
  <c r="M796" i="2" a="1"/>
  <c r="M796" i="2" s="1"/>
  <c r="M797" i="2" a="1"/>
  <c r="M797" i="2" s="1"/>
  <c r="M798" i="2" a="1"/>
  <c r="M798" i="2" s="1"/>
  <c r="M799" i="2" a="1"/>
  <c r="M799" i="2" s="1"/>
  <c r="M800" i="2" a="1"/>
  <c r="M800" i="2" s="1"/>
  <c r="M801" i="2" a="1"/>
  <c r="M801" i="2" s="1"/>
  <c r="M802" i="2" a="1"/>
  <c r="M802" i="2" s="1"/>
  <c r="M803" i="2" a="1"/>
  <c r="M803" i="2" s="1"/>
  <c r="M804" i="2" a="1"/>
  <c r="M804" i="2" s="1"/>
  <c r="M805" i="2" a="1"/>
  <c r="M805" i="2" s="1"/>
  <c r="M806" i="2" a="1"/>
  <c r="M806" i="2" s="1"/>
  <c r="M807" i="2" a="1"/>
  <c r="M807" i="2" s="1"/>
  <c r="M808" i="2" a="1"/>
  <c r="M808" i="2" s="1"/>
  <c r="M809" i="2" a="1"/>
  <c r="M809" i="2" s="1"/>
  <c r="M810" i="2" a="1"/>
  <c r="M810" i="2" s="1"/>
  <c r="M811" i="2" a="1"/>
  <c r="M811" i="2" s="1"/>
  <c r="M812" i="2" a="1"/>
  <c r="M812" i="2" s="1"/>
  <c r="M813" i="2" a="1"/>
  <c r="M813" i="2" s="1"/>
  <c r="M814" i="2" a="1"/>
  <c r="M814" i="2" s="1"/>
  <c r="M815" i="2" a="1"/>
  <c r="M815" i="2" s="1"/>
  <c r="M816" i="2" a="1"/>
  <c r="M816" i="2" s="1"/>
  <c r="M817" i="2" a="1"/>
  <c r="M817" i="2" s="1"/>
  <c r="M818" i="2" a="1"/>
  <c r="M818" i="2" s="1"/>
  <c r="M819" i="2" a="1"/>
  <c r="M819" i="2" s="1"/>
  <c r="M820" i="2" a="1"/>
  <c r="M820" i="2" s="1"/>
  <c r="M821" i="2" a="1"/>
  <c r="M821" i="2" s="1"/>
  <c r="M822" i="2" a="1"/>
  <c r="M822" i="2" s="1"/>
  <c r="M823" i="2" a="1"/>
  <c r="M823" i="2" s="1"/>
  <c r="M824" i="2" a="1"/>
  <c r="M824" i="2" s="1"/>
  <c r="M825" i="2" a="1"/>
  <c r="M825" i="2" s="1"/>
  <c r="M826" i="2" a="1"/>
  <c r="M826" i="2" s="1"/>
  <c r="M827" i="2" a="1"/>
  <c r="M827" i="2" s="1"/>
  <c r="M828" i="2" a="1"/>
  <c r="M828" i="2" s="1"/>
  <c r="M829" i="2" a="1"/>
  <c r="M829" i="2" s="1"/>
  <c r="M830" i="2" a="1"/>
  <c r="M830" i="2" s="1"/>
  <c r="M831" i="2" a="1"/>
  <c r="M831" i="2" s="1"/>
  <c r="M832" i="2" a="1"/>
  <c r="M832" i="2" s="1"/>
  <c r="M833" i="2" a="1"/>
  <c r="M833" i="2" s="1"/>
  <c r="M834" i="2" a="1"/>
  <c r="M834" i="2" s="1"/>
  <c r="M835" i="2" a="1"/>
  <c r="M835" i="2" s="1"/>
  <c r="M836" i="2" a="1"/>
  <c r="M836" i="2" s="1"/>
  <c r="M837" i="2" a="1"/>
  <c r="M837" i="2" s="1"/>
  <c r="M838" i="2" a="1"/>
  <c r="M838" i="2" s="1"/>
  <c r="M839" i="2" a="1"/>
  <c r="M839" i="2" s="1"/>
  <c r="M841" i="2" a="1"/>
  <c r="M841" i="2" s="1"/>
  <c r="M842" i="2" a="1"/>
  <c r="M842" i="2" s="1"/>
  <c r="M843" i="2" a="1"/>
  <c r="M843" i="2" s="1"/>
  <c r="M844" i="2" a="1"/>
  <c r="M844" i="2" s="1"/>
  <c r="M845" i="2" a="1"/>
  <c r="M845" i="2" s="1"/>
  <c r="M846" i="2" a="1"/>
  <c r="M846" i="2" s="1"/>
  <c r="M847" i="2" a="1"/>
  <c r="M847" i="2" s="1"/>
  <c r="M848" i="2" a="1"/>
  <c r="M848" i="2" s="1"/>
  <c r="M849" i="2" a="1"/>
  <c r="M849" i="2" s="1"/>
  <c r="M850" i="2" a="1"/>
  <c r="M850" i="2" s="1"/>
  <c r="M851" i="2" a="1"/>
  <c r="M851" i="2" s="1"/>
  <c r="M853" i="2" a="1"/>
  <c r="M853" i="2" s="1"/>
  <c r="M854" i="2" a="1"/>
  <c r="M854" i="2" s="1"/>
  <c r="M856" i="2" a="1"/>
  <c r="M856" i="2" s="1"/>
  <c r="M857" i="2" a="1"/>
  <c r="M857" i="2" s="1"/>
  <c r="M858" i="2" a="1"/>
  <c r="M858" i="2" s="1"/>
  <c r="M859" i="2" a="1"/>
  <c r="M859" i="2" s="1"/>
  <c r="M860" i="2" a="1"/>
  <c r="M860" i="2" s="1"/>
  <c r="M862" i="2" a="1"/>
  <c r="M862" i="2" s="1"/>
  <c r="M863" i="2" a="1"/>
  <c r="M863" i="2" s="1"/>
  <c r="M864" i="2" a="1"/>
  <c r="M864" i="2" s="1"/>
  <c r="M865" i="2" a="1"/>
  <c r="M865" i="2" s="1"/>
  <c r="M866" i="2" a="1"/>
  <c r="M866" i="2" s="1"/>
  <c r="M867" i="2" a="1"/>
  <c r="M867" i="2" s="1"/>
  <c r="M868" i="2" a="1"/>
  <c r="M868" i="2" s="1"/>
  <c r="M869" i="2" a="1"/>
  <c r="M869" i="2" s="1"/>
  <c r="M870" i="2" a="1"/>
  <c r="M870" i="2" s="1"/>
  <c r="M871" i="2" a="1"/>
  <c r="M871" i="2" s="1"/>
  <c r="M872" i="2" a="1"/>
  <c r="M872" i="2" s="1"/>
  <c r="M873" i="2" a="1"/>
  <c r="M873" i="2" s="1"/>
  <c r="M875" i="2" a="1"/>
  <c r="M875" i="2" s="1"/>
  <c r="M877" i="2" a="1"/>
  <c r="M877" i="2" s="1"/>
  <c r="M878" i="2" a="1"/>
  <c r="M878" i="2" s="1"/>
  <c r="M879" i="2" a="1"/>
  <c r="M879" i="2" s="1"/>
  <c r="M880" i="2" a="1"/>
  <c r="M880" i="2" s="1"/>
  <c r="M881" i="2" a="1"/>
  <c r="M881" i="2" s="1"/>
  <c r="M882" i="2" a="1"/>
  <c r="M882" i="2" s="1"/>
  <c r="M883" i="2" a="1"/>
  <c r="M883" i="2" s="1"/>
  <c r="M884" i="2" a="1"/>
  <c r="M884" i="2" s="1"/>
  <c r="M886" i="2" a="1"/>
  <c r="M886" i="2" s="1"/>
  <c r="M887" i="2" a="1"/>
  <c r="M887" i="2" s="1"/>
  <c r="M888" i="2" a="1"/>
  <c r="M888" i="2" s="1"/>
  <c r="M889" i="2" a="1"/>
  <c r="M889" i="2" s="1"/>
  <c r="M891" i="2" a="1"/>
  <c r="M891" i="2" s="1"/>
  <c r="M892" i="2" a="1"/>
  <c r="M892" i="2" s="1"/>
  <c r="M893" i="2" a="1"/>
  <c r="M893" i="2" s="1"/>
  <c r="M894" i="2" a="1"/>
  <c r="M894" i="2" s="1"/>
  <c r="M895" i="2" a="1"/>
  <c r="M895" i="2" s="1"/>
  <c r="M896" i="2" a="1"/>
  <c r="M896" i="2" s="1"/>
  <c r="M898" i="2" a="1"/>
  <c r="M898" i="2" s="1"/>
  <c r="M899" i="2" a="1"/>
  <c r="M899" i="2" s="1"/>
  <c r="M900" i="2" a="1"/>
  <c r="M900" i="2" s="1"/>
  <c r="M901" i="2" a="1"/>
  <c r="M901" i="2" s="1"/>
  <c r="M902" i="2" a="1"/>
  <c r="M902" i="2" s="1"/>
  <c r="M903" i="2" a="1"/>
  <c r="M903" i="2" s="1"/>
  <c r="M904" i="2" a="1"/>
  <c r="M904" i="2" s="1"/>
  <c r="M905" i="2" a="1"/>
  <c r="M905" i="2" s="1"/>
  <c r="M906" i="2" a="1"/>
  <c r="M906" i="2" s="1"/>
  <c r="M907" i="2" a="1"/>
  <c r="M907" i="2" s="1"/>
  <c r="M908" i="2" a="1"/>
  <c r="M908" i="2" s="1"/>
  <c r="M909" i="2" a="1"/>
  <c r="M909" i="2" s="1"/>
  <c r="M910" i="2" a="1"/>
  <c r="M910" i="2" s="1"/>
  <c r="M911" i="2" a="1"/>
  <c r="M911" i="2" s="1"/>
  <c r="M912" i="2" a="1"/>
  <c r="M912" i="2" s="1"/>
  <c r="M913" i="2" a="1"/>
  <c r="M913" i="2" s="1"/>
  <c r="M914" i="2" a="1"/>
  <c r="M914" i="2" s="1"/>
  <c r="M915" i="2" a="1"/>
  <c r="M915" i="2" s="1"/>
  <c r="M916" i="2" a="1"/>
  <c r="M916" i="2" s="1"/>
  <c r="M917" i="2" a="1"/>
  <c r="M917" i="2" s="1"/>
  <c r="M918" i="2" a="1"/>
  <c r="M918" i="2" s="1"/>
  <c r="M919" i="2" a="1"/>
  <c r="M919" i="2" s="1"/>
  <c r="M920" i="2" a="1"/>
  <c r="M920" i="2" s="1"/>
  <c r="M921" i="2" a="1"/>
  <c r="M921" i="2" s="1"/>
  <c r="M922" i="2" a="1"/>
  <c r="M922" i="2" s="1"/>
  <c r="M923" i="2" a="1"/>
  <c r="M923" i="2" s="1"/>
  <c r="M924" i="2" a="1"/>
  <c r="M924" i="2" s="1"/>
  <c r="M925" i="2" a="1"/>
  <c r="M925" i="2" s="1"/>
  <c r="M926" i="2" a="1"/>
  <c r="M926" i="2" s="1"/>
  <c r="M927" i="2" a="1"/>
  <c r="M927" i="2" s="1"/>
  <c r="M928" i="2" a="1"/>
  <c r="M928" i="2" s="1"/>
  <c r="M929" i="2" a="1"/>
  <c r="M929" i="2" s="1"/>
  <c r="M930" i="2" a="1"/>
  <c r="M930" i="2" s="1"/>
  <c r="M931" i="2" a="1"/>
  <c r="M931" i="2" s="1"/>
  <c r="M932" i="2" a="1"/>
  <c r="M932" i="2" s="1"/>
  <c r="M933" i="2" a="1"/>
  <c r="M933" i="2" s="1"/>
  <c r="M934" i="2" a="1"/>
  <c r="M934" i="2" s="1"/>
  <c r="M935" i="2" a="1"/>
  <c r="M935" i="2" s="1"/>
  <c r="M936" i="2" a="1"/>
  <c r="M936" i="2" s="1"/>
  <c r="M937" i="2" a="1"/>
  <c r="M937" i="2" s="1"/>
  <c r="M939" i="2" a="1"/>
  <c r="M939" i="2" s="1"/>
  <c r="M940" i="2" a="1"/>
  <c r="M940" i="2" s="1"/>
  <c r="M941" i="2" a="1"/>
  <c r="M941" i="2" s="1"/>
  <c r="M942" i="2" a="1"/>
  <c r="M942" i="2" s="1"/>
  <c r="M943" i="2" a="1"/>
  <c r="M943" i="2" s="1"/>
  <c r="M944" i="2" a="1"/>
  <c r="M944" i="2" s="1"/>
  <c r="M945" i="2" a="1"/>
  <c r="M945" i="2" s="1"/>
  <c r="M946" i="2" a="1"/>
  <c r="M946" i="2" s="1"/>
  <c r="M947" i="2" a="1"/>
  <c r="M947" i="2" s="1"/>
  <c r="M949" i="2" a="1"/>
  <c r="M949" i="2" s="1"/>
  <c r="M950" i="2" a="1"/>
  <c r="M950" i="2" s="1"/>
  <c r="M951" i="2" a="1"/>
  <c r="M951" i="2" s="1"/>
  <c r="M952" i="2" a="1"/>
  <c r="M952" i="2" s="1"/>
  <c r="M953" i="2" a="1"/>
  <c r="M953" i="2" s="1"/>
  <c r="M954" i="2" a="1"/>
  <c r="M954" i="2" s="1"/>
  <c r="M955" i="2" a="1"/>
  <c r="M955" i="2" s="1"/>
  <c r="M956" i="2" a="1"/>
  <c r="M956" i="2" s="1"/>
  <c r="M958" i="2" a="1"/>
  <c r="M958" i="2" s="1"/>
  <c r="M959" i="2" a="1"/>
  <c r="M959" i="2" s="1"/>
  <c r="M960" i="2" a="1"/>
  <c r="M960" i="2" s="1"/>
  <c r="M961" i="2" a="1"/>
  <c r="M961" i="2" s="1"/>
  <c r="M962" i="2" a="1"/>
  <c r="M962" i="2" s="1"/>
  <c r="M963" i="2" a="1"/>
  <c r="M963" i="2" s="1"/>
  <c r="M964" i="2" a="1"/>
  <c r="M964" i="2" s="1"/>
  <c r="M965" i="2" a="1"/>
  <c r="M965" i="2" s="1"/>
  <c r="M966" i="2" a="1"/>
  <c r="M966" i="2" s="1"/>
  <c r="M968" i="2" a="1"/>
  <c r="M968" i="2" s="1"/>
  <c r="M969" i="2" a="1"/>
  <c r="M969" i="2" s="1"/>
  <c r="M970" i="2" a="1"/>
  <c r="M970" i="2" s="1"/>
  <c r="M971" i="2" a="1"/>
  <c r="M971" i="2" s="1"/>
  <c r="M972" i="2" a="1"/>
  <c r="M972" i="2" s="1"/>
  <c r="M973" i="2" a="1"/>
  <c r="M973" i="2" s="1"/>
  <c r="M974" i="2" a="1"/>
  <c r="M974" i="2" s="1"/>
  <c r="M975" i="2" a="1"/>
  <c r="M975" i="2" s="1"/>
  <c r="M977" i="2" a="1"/>
  <c r="M977" i="2" s="1"/>
  <c r="M978" i="2" a="1"/>
  <c r="M978" i="2" s="1"/>
  <c r="M979" i="2" a="1"/>
  <c r="M979" i="2" s="1"/>
  <c r="M980" i="2" a="1"/>
  <c r="M980" i="2" s="1"/>
  <c r="M981" i="2" a="1"/>
  <c r="M981" i="2" s="1"/>
  <c r="M982" i="2" a="1"/>
  <c r="M982" i="2" s="1"/>
  <c r="M983" i="2" a="1"/>
  <c r="M983" i="2" s="1"/>
  <c r="M984" i="2" a="1"/>
  <c r="M984" i="2" s="1"/>
  <c r="M985" i="2" a="1"/>
  <c r="M985" i="2" s="1"/>
  <c r="M986" i="2" a="1"/>
  <c r="M986" i="2" s="1"/>
  <c r="M987" i="2" a="1"/>
  <c r="M987" i="2" s="1"/>
  <c r="M988" i="2" a="1"/>
  <c r="M988" i="2" s="1"/>
  <c r="M989" i="2" a="1"/>
  <c r="M989" i="2" s="1"/>
  <c r="M990" i="2" a="1"/>
  <c r="M990" i="2" s="1"/>
  <c r="M991" i="2" a="1"/>
  <c r="M991" i="2" s="1"/>
  <c r="M992" i="2" a="1"/>
  <c r="M992" i="2" s="1"/>
  <c r="M993" i="2" a="1"/>
  <c r="M993" i="2" s="1"/>
  <c r="M994" i="2" a="1"/>
  <c r="M994" i="2" s="1"/>
  <c r="M995" i="2" a="1"/>
  <c r="M995" i="2" s="1"/>
  <c r="M996" i="2" a="1"/>
  <c r="M996" i="2" s="1"/>
  <c r="M997" i="2" a="1"/>
  <c r="M997" i="2" s="1"/>
  <c r="M998" i="2" a="1"/>
  <c r="M998" i="2" s="1"/>
  <c r="M999" i="2" a="1"/>
  <c r="M999" i="2" s="1"/>
  <c r="M1000" i="2" a="1"/>
  <c r="M1000" i="2" s="1"/>
  <c r="M1001" i="2" a="1"/>
  <c r="M1001" i="2" s="1"/>
  <c r="M1002" i="2" a="1"/>
  <c r="M1002" i="2" s="1"/>
  <c r="M1003" i="2" a="1"/>
  <c r="M1003" i="2" s="1"/>
  <c r="M1004" i="2" a="1"/>
  <c r="M1004" i="2" s="1"/>
  <c r="M1005" i="2" a="1"/>
  <c r="M1005" i="2" s="1"/>
  <c r="M1006" i="2" a="1"/>
  <c r="M1006" i="2" s="1"/>
  <c r="M1007" i="2" a="1"/>
  <c r="M1007" i="2" s="1"/>
  <c r="M1008" i="2" a="1"/>
  <c r="M1008" i="2" s="1"/>
  <c r="M1010" i="2" a="1"/>
  <c r="M1010" i="2" s="1"/>
  <c r="M1011" i="2" a="1"/>
  <c r="M1011" i="2" s="1"/>
  <c r="M1012" i="2" a="1"/>
  <c r="M1012" i="2" s="1"/>
  <c r="M1013" i="2" a="1"/>
  <c r="M1013" i="2" s="1"/>
  <c r="M1014" i="2" a="1"/>
  <c r="M1014" i="2" s="1"/>
  <c r="M1015" i="2" a="1"/>
  <c r="M1015" i="2" s="1"/>
  <c r="M1016" i="2" a="1"/>
  <c r="M1016" i="2" s="1"/>
  <c r="M1017" i="2" a="1"/>
  <c r="M1017" i="2" s="1"/>
  <c r="M1018" i="2" a="1"/>
  <c r="M1018" i="2" s="1"/>
  <c r="M1019" i="2" a="1"/>
  <c r="M1019" i="2" s="1"/>
  <c r="M1020" i="2" a="1"/>
  <c r="M1020" i="2" s="1"/>
  <c r="M1021" i="2" a="1"/>
  <c r="M1021" i="2" s="1"/>
  <c r="M1022" i="2" a="1"/>
  <c r="M1022" i="2" s="1"/>
  <c r="M1023" i="2" a="1"/>
  <c r="M1023" i="2" s="1"/>
  <c r="M1024" i="2" a="1"/>
  <c r="M1024" i="2" s="1"/>
  <c r="M1025" i="2" a="1"/>
  <c r="M1025" i="2" s="1"/>
  <c r="M1026" i="2" a="1"/>
  <c r="M1026" i="2" s="1"/>
  <c r="M1027" i="2" a="1"/>
  <c r="M1027" i="2" s="1"/>
  <c r="M1028" i="2" a="1"/>
  <c r="M1028" i="2" s="1"/>
  <c r="M1029" i="2" a="1"/>
  <c r="M1029" i="2" s="1"/>
  <c r="M1030" i="2" a="1"/>
  <c r="M1030" i="2" s="1"/>
  <c r="M1031" i="2" a="1"/>
  <c r="M1031" i="2" s="1"/>
  <c r="M1032" i="2" a="1"/>
  <c r="M1032" i="2" s="1"/>
  <c r="M1033" i="2" a="1"/>
  <c r="M1033" i="2" s="1"/>
  <c r="M1034" i="2" a="1"/>
  <c r="M1034" i="2" s="1"/>
  <c r="M1035" i="2" a="1"/>
  <c r="M1035" i="2" s="1"/>
  <c r="M1036" i="2" a="1"/>
  <c r="M1036" i="2" s="1"/>
  <c r="M1037" i="2" a="1"/>
  <c r="M1037" i="2" s="1"/>
  <c r="M1038" i="2" a="1"/>
  <c r="M1038" i="2" s="1"/>
  <c r="M1039" i="2" a="1"/>
  <c r="M1039" i="2" s="1"/>
  <c r="M1040" i="2" a="1"/>
  <c r="M1040" i="2" s="1"/>
  <c r="M1041" i="2" a="1"/>
  <c r="M1041" i="2" s="1"/>
  <c r="M1042" i="2" a="1"/>
  <c r="M1042" i="2" s="1"/>
  <c r="M1043" i="2" a="1"/>
  <c r="M1043" i="2" s="1"/>
  <c r="M1044" i="2" a="1"/>
  <c r="M1044" i="2" s="1"/>
  <c r="M1045" i="2" a="1"/>
  <c r="M1045" i="2" s="1"/>
  <c r="M1047" i="2" a="1"/>
  <c r="M1047" i="2" s="1"/>
  <c r="M1048" i="2" a="1"/>
  <c r="M1048" i="2" s="1"/>
  <c r="M1049" i="2" a="1"/>
  <c r="M1049" i="2" s="1"/>
  <c r="M1050" i="2" a="1"/>
  <c r="M1050" i="2" s="1"/>
  <c r="M1051" i="2" a="1"/>
  <c r="M1051" i="2" s="1"/>
  <c r="M1052" i="2" a="1"/>
  <c r="M1052" i="2" s="1"/>
  <c r="M1053" i="2" a="1"/>
  <c r="M1053" i="2" s="1"/>
  <c r="M1055" i="2" a="1"/>
  <c r="M1055" i="2" s="1"/>
  <c r="M1056" i="2" a="1"/>
  <c r="M1056" i="2" s="1"/>
  <c r="M1057" i="2" a="1"/>
  <c r="M1057" i="2" s="1"/>
  <c r="M1058" i="2" a="1"/>
  <c r="M1058" i="2" s="1"/>
  <c r="M1059" i="2" a="1"/>
  <c r="M1059" i="2" s="1"/>
  <c r="M1060" i="2" a="1"/>
  <c r="M1060" i="2" s="1"/>
  <c r="M1061" i="2" a="1"/>
  <c r="M1061" i="2" s="1"/>
  <c r="M1062" i="2" a="1"/>
  <c r="M1062" i="2" s="1"/>
  <c r="M1063" i="2" a="1"/>
  <c r="M1063" i="2" s="1"/>
  <c r="M1064" i="2" a="1"/>
  <c r="M1064" i="2" s="1"/>
  <c r="M1065" i="2" a="1"/>
  <c r="M1065" i="2" s="1"/>
  <c r="M1066" i="2" a="1"/>
  <c r="M1066" i="2" s="1"/>
  <c r="M1067" i="2" a="1"/>
  <c r="M1067" i="2" s="1"/>
  <c r="M1069" i="2" a="1"/>
  <c r="M1069" i="2" s="1"/>
  <c r="M1070" i="2" a="1"/>
  <c r="M1070" i="2" s="1"/>
  <c r="M1071" i="2" a="1"/>
  <c r="M1071" i="2" s="1"/>
  <c r="M1073" i="2" a="1"/>
  <c r="M1073" i="2" s="1"/>
  <c r="M1074" i="2" a="1"/>
  <c r="M1074" i="2" s="1"/>
  <c r="M1075" i="2" a="1"/>
  <c r="M1075" i="2" s="1"/>
  <c r="M1076" i="2" a="1"/>
  <c r="M1076" i="2" s="1"/>
  <c r="M1077" i="2" a="1"/>
  <c r="M1077" i="2" s="1"/>
  <c r="M1078" i="2" a="1"/>
  <c r="M1078" i="2" s="1"/>
  <c r="M1079" i="2" a="1"/>
  <c r="M1079" i="2" s="1"/>
  <c r="M1080" i="2" a="1"/>
  <c r="M1080" i="2" s="1"/>
  <c r="M1081" i="2" a="1"/>
  <c r="M1081" i="2" s="1"/>
  <c r="M1083" i="2" a="1"/>
  <c r="M1083" i="2" s="1"/>
  <c r="M1084" i="2" a="1"/>
  <c r="M1084" i="2" s="1"/>
  <c r="M1085" i="2" a="1"/>
  <c r="M1085" i="2" s="1"/>
  <c r="M1086" i="2" a="1"/>
  <c r="M1086" i="2" s="1"/>
  <c r="M1087" i="2" a="1"/>
  <c r="M1087" i="2" s="1"/>
  <c r="M1090" i="2" a="1"/>
  <c r="M1090" i="2" s="1"/>
  <c r="M1091" i="2" a="1"/>
  <c r="M1091" i="2" s="1"/>
  <c r="M1094" i="2" a="1"/>
  <c r="M1094" i="2" s="1"/>
  <c r="M1095" i="2" a="1"/>
  <c r="M1095" i="2" s="1"/>
  <c r="M1096" i="2" a="1"/>
  <c r="M1096" i="2" s="1"/>
  <c r="M1098" i="2" a="1"/>
  <c r="M1098" i="2" s="1"/>
  <c r="M1099" i="2" a="1"/>
  <c r="M1099" i="2" s="1"/>
  <c r="M1101" i="2" a="1"/>
  <c r="M1101" i="2" s="1"/>
  <c r="M1102" i="2" a="1"/>
  <c r="M1102" i="2" s="1"/>
  <c r="M1103" i="2" a="1"/>
  <c r="M1103" i="2" s="1"/>
  <c r="M1104" i="2" a="1"/>
  <c r="M1104" i="2" s="1"/>
  <c r="M1105" i="2" a="1"/>
  <c r="M1105" i="2" s="1"/>
  <c r="M1106" i="2" a="1"/>
  <c r="M1106" i="2" s="1"/>
  <c r="M1107" i="2" a="1"/>
  <c r="M1107" i="2" s="1"/>
  <c r="M1108" i="2" a="1"/>
  <c r="M1108" i="2" s="1"/>
  <c r="M1109" i="2" a="1"/>
  <c r="M1109" i="2" s="1"/>
  <c r="M1110" i="2" a="1"/>
  <c r="M1110" i="2" s="1"/>
  <c r="M1112" i="2" a="1"/>
  <c r="M1112" i="2" s="1"/>
  <c r="M1114" i="2" a="1"/>
  <c r="M1114" i="2" s="1"/>
  <c r="M1116" i="2" a="1"/>
  <c r="M1116" i="2" s="1"/>
  <c r="M1117" i="2" a="1"/>
  <c r="M1117" i="2" s="1"/>
  <c r="M1118" i="2" a="1"/>
  <c r="M1118" i="2" s="1"/>
  <c r="M1119" i="2" a="1"/>
  <c r="M1119" i="2" s="1"/>
  <c r="M1120" i="2" a="1"/>
  <c r="M1120" i="2" s="1"/>
  <c r="M1121" i="2" a="1"/>
  <c r="M1121" i="2" s="1"/>
  <c r="M1122" i="2" a="1"/>
  <c r="M1122" i="2" s="1"/>
  <c r="M1123" i="2" a="1"/>
  <c r="M1123" i="2" s="1"/>
  <c r="M1124" i="2" a="1"/>
  <c r="M1124" i="2" s="1"/>
  <c r="M1125" i="2" a="1"/>
  <c r="M1125" i="2" s="1"/>
  <c r="M1126" i="2" a="1"/>
  <c r="M1126" i="2" s="1"/>
  <c r="M1127" i="2" a="1"/>
  <c r="M1127" i="2" s="1"/>
  <c r="M1128" i="2" a="1"/>
  <c r="M1128" i="2" s="1"/>
  <c r="M1129" i="2" a="1"/>
  <c r="M1129" i="2" s="1"/>
  <c r="M1130" i="2" a="1"/>
  <c r="M1130" i="2" s="1"/>
  <c r="M1131" i="2" a="1"/>
  <c r="M1131" i="2" s="1"/>
  <c r="M1132" i="2" a="1"/>
  <c r="M1132" i="2" s="1"/>
  <c r="M1133" i="2" a="1"/>
  <c r="M1133" i="2" s="1"/>
  <c r="M1134" i="2" a="1"/>
  <c r="M1134" i="2" s="1"/>
  <c r="M1135" i="2" a="1"/>
  <c r="M1135" i="2" s="1"/>
  <c r="M1136" i="2" a="1"/>
  <c r="M1136" i="2" s="1"/>
  <c r="M1138" i="2" a="1"/>
  <c r="M1138" i="2" s="1"/>
  <c r="M1139" i="2" a="1"/>
  <c r="M1139" i="2" s="1"/>
  <c r="M1140" i="2" a="1"/>
  <c r="M1140" i="2" s="1"/>
  <c r="M1141" i="2" a="1"/>
  <c r="M1141" i="2" s="1"/>
  <c r="M1143" i="2" a="1"/>
  <c r="M1143" i="2" s="1"/>
  <c r="M1144" i="2" a="1"/>
  <c r="M1144" i="2" s="1"/>
  <c r="M1145" i="2" a="1"/>
  <c r="M1145" i="2" s="1"/>
  <c r="M1146" i="2" a="1"/>
  <c r="M1146" i="2" s="1"/>
  <c r="M1147" i="2" a="1"/>
  <c r="M1147" i="2" s="1"/>
  <c r="M1148" i="2" a="1"/>
  <c r="M1148" i="2" s="1"/>
  <c r="M1149" i="2" a="1"/>
  <c r="M1149" i="2" s="1"/>
  <c r="M1150" i="2" a="1"/>
  <c r="M1150" i="2" s="1"/>
  <c r="M1151" i="2" a="1"/>
  <c r="M1151" i="2" s="1"/>
  <c r="M1152" i="2" a="1"/>
  <c r="M1152" i="2" s="1"/>
  <c r="M1154" i="2" a="1"/>
  <c r="M1154" i="2" s="1"/>
  <c r="M1155" i="2" a="1"/>
  <c r="M1155" i="2" s="1"/>
  <c r="M1156" i="2" a="1"/>
  <c r="M1156" i="2" s="1"/>
  <c r="M1157" i="2" a="1"/>
  <c r="M1157" i="2" s="1"/>
  <c r="M1158" i="2" a="1"/>
  <c r="M1158" i="2" s="1"/>
  <c r="M1159" i="2" a="1"/>
  <c r="M1159" i="2" s="1"/>
  <c r="M1160" i="2" a="1"/>
  <c r="M1160" i="2" s="1"/>
  <c r="M1162" i="2" a="1"/>
  <c r="M1162" i="2" s="1"/>
  <c r="M1163" i="2" a="1"/>
  <c r="M1163" i="2" s="1"/>
  <c r="M1166" i="2" a="1"/>
  <c r="M1166" i="2" s="1"/>
  <c r="M1168" i="2" a="1"/>
  <c r="M1168" i="2" s="1"/>
  <c r="M1169" i="2" a="1"/>
  <c r="M1169" i="2" s="1"/>
  <c r="M1170" i="2" a="1"/>
  <c r="M1170" i="2" s="1"/>
  <c r="M1171" i="2" a="1"/>
  <c r="M1171" i="2" s="1"/>
  <c r="M1172" i="2" a="1"/>
  <c r="M1172" i="2" s="1"/>
  <c r="M1173" i="2" a="1"/>
  <c r="M1173" i="2" s="1"/>
  <c r="M1174" i="2" a="1"/>
  <c r="M1174" i="2" s="1"/>
  <c r="M1178" i="2" a="1"/>
  <c r="M1178" i="2" s="1"/>
  <c r="M1179" i="2" a="1"/>
  <c r="M1179" i="2" s="1"/>
  <c r="M1180" i="2" a="1"/>
  <c r="M1180" i="2" s="1"/>
  <c r="M1181" i="2" a="1"/>
  <c r="M1181" i="2" s="1"/>
  <c r="M1182" i="2" a="1"/>
  <c r="M1182" i="2" s="1"/>
  <c r="M1183" i="2" a="1"/>
  <c r="M1183" i="2" s="1"/>
  <c r="M1185" i="2" a="1"/>
  <c r="M1185" i="2" s="1"/>
  <c r="M1186" i="2" a="1"/>
  <c r="M1186" i="2" s="1"/>
  <c r="M1187" i="2" a="1"/>
  <c r="M1187" i="2" s="1"/>
  <c r="M1188" i="2" a="1"/>
  <c r="M1188" i="2" s="1"/>
  <c r="M1189" i="2" a="1"/>
  <c r="M1189" i="2" s="1"/>
  <c r="M1190" i="2" a="1"/>
  <c r="M1190" i="2" s="1"/>
  <c r="M1191" i="2" a="1"/>
  <c r="M1191" i="2" s="1"/>
  <c r="M1192" i="2" a="1"/>
  <c r="M1192" i="2" s="1"/>
  <c r="M1193" i="2" a="1"/>
  <c r="M1193" i="2" s="1"/>
  <c r="M1194" i="2" a="1"/>
  <c r="M1194" i="2" s="1"/>
  <c r="M1195" i="2" a="1"/>
  <c r="M1195" i="2" s="1"/>
  <c r="M1196" i="2" a="1"/>
  <c r="M1196" i="2" s="1"/>
  <c r="M1197" i="2" a="1"/>
  <c r="M1197" i="2" s="1"/>
  <c r="M1198" i="2" a="1"/>
  <c r="M1198" i="2" s="1"/>
  <c r="M1199" i="2" a="1"/>
  <c r="M1199" i="2" s="1"/>
  <c r="M1200" i="2" a="1"/>
  <c r="M1200" i="2" s="1"/>
  <c r="M1201" i="2" a="1"/>
  <c r="M1201" i="2" s="1"/>
  <c r="M1202" i="2" a="1"/>
  <c r="M1202" i="2" s="1"/>
  <c r="M1203" i="2" a="1"/>
  <c r="M1203" i="2" s="1"/>
  <c r="M2" i="2" a="1"/>
  <c r="M2" i="2" s="1"/>
  <c r="E1115" i="2"/>
  <c r="E1089" i="2"/>
  <c r="E110" i="2"/>
  <c r="E1175" i="2"/>
  <c r="E897" i="2"/>
  <c r="E604" i="2"/>
  <c r="E405" i="2"/>
  <c r="E1164" i="2"/>
  <c r="E1092" i="2"/>
  <c r="E1072" i="2"/>
  <c r="E976" i="2"/>
  <c r="E890" i="2"/>
  <c r="E377" i="2"/>
  <c r="E1093" i="2"/>
  <c r="E1082" i="2"/>
  <c r="E1068" i="2"/>
  <c r="E1009" i="2"/>
  <c r="E885" i="2"/>
  <c r="E771" i="2"/>
  <c r="E701" i="2"/>
  <c r="E153" i="2"/>
  <c r="E733" i="2"/>
  <c r="E680" i="2"/>
  <c r="E628" i="2"/>
  <c r="E450" i="2"/>
  <c r="E428" i="2"/>
  <c r="E303" i="2"/>
  <c r="E205" i="2"/>
  <c r="E1137" i="2"/>
  <c r="E855" i="2"/>
  <c r="E758" i="2"/>
  <c r="E747" i="2"/>
  <c r="E519" i="2"/>
  <c r="E371" i="2"/>
  <c r="E42" i="2"/>
  <c r="E4" i="2"/>
  <c r="E967" i="2"/>
  <c r="E645" i="2"/>
  <c r="E625" i="2"/>
  <c r="E607" i="2"/>
  <c r="E475" i="2"/>
  <c r="E1165" i="2"/>
  <c r="E874" i="2"/>
  <c r="E679" i="2"/>
  <c r="E382" i="2"/>
  <c r="E840" i="2"/>
  <c r="E623" i="2"/>
  <c r="E249" i="2"/>
  <c r="E208" i="2"/>
  <c r="E638" i="2"/>
  <c r="E357" i="2"/>
  <c r="E224" i="2"/>
  <c r="E89" i="2"/>
  <c r="E61" i="2"/>
  <c r="E1113" i="2"/>
  <c r="E861" i="2"/>
  <c r="E660" i="2"/>
  <c r="E655" i="2"/>
  <c r="E621" i="2"/>
  <c r="E464" i="2"/>
  <c r="E430" i="2"/>
  <c r="E353" i="2"/>
  <c r="E1153" i="2"/>
  <c r="E1100" i="2"/>
  <c r="E1046" i="2"/>
  <c r="E741" i="2"/>
  <c r="E1177" i="2"/>
  <c r="E957" i="2"/>
  <c r="E581" i="2"/>
  <c r="E390" i="2"/>
  <c r="E319" i="2"/>
  <c r="E287" i="2"/>
  <c r="E197" i="2"/>
  <c r="E5" i="2"/>
  <c r="E876" i="2"/>
  <c r="E437" i="2"/>
  <c r="E381" i="2"/>
  <c r="E1088" i="2"/>
  <c r="E613" i="2"/>
  <c r="E1167" i="2"/>
  <c r="E1161" i="2"/>
  <c r="E1097" i="2"/>
  <c r="E852" i="2"/>
  <c r="E664" i="2"/>
  <c r="E549" i="2"/>
  <c r="E498" i="2"/>
  <c r="E492" i="2"/>
  <c r="E1184" i="2"/>
  <c r="E1176" i="2"/>
  <c r="E948" i="2"/>
  <c r="E1111" i="2"/>
  <c r="E1054" i="2"/>
  <c r="E938" i="2"/>
  <c r="E783" i="2"/>
  <c r="E88" i="2"/>
  <c r="D1115" i="2"/>
  <c r="D1089" i="2"/>
  <c r="D110" i="2"/>
  <c r="D1175" i="2"/>
  <c r="D897" i="2"/>
  <c r="D604" i="2"/>
  <c r="D405" i="2"/>
  <c r="D1164" i="2"/>
  <c r="D1092" i="2"/>
  <c r="D1072" i="2"/>
  <c r="D976" i="2"/>
  <c r="D890" i="2"/>
  <c r="D377" i="2"/>
  <c r="D1093" i="2"/>
  <c r="D1082" i="2"/>
  <c r="D1068" i="2"/>
  <c r="D1009" i="2"/>
  <c r="D885" i="2"/>
  <c r="D771" i="2"/>
  <c r="D701" i="2"/>
  <c r="D153" i="2"/>
  <c r="D733" i="2"/>
  <c r="D680" i="2"/>
  <c r="D628" i="2"/>
  <c r="D450" i="2"/>
  <c r="D428" i="2"/>
  <c r="D303" i="2"/>
  <c r="D205" i="2"/>
  <c r="D1137" i="2"/>
  <c r="D855" i="2"/>
  <c r="D758" i="2"/>
  <c r="D747" i="2"/>
  <c r="D519" i="2"/>
  <c r="D371" i="2"/>
  <c r="D42" i="2"/>
  <c r="D4" i="2"/>
  <c r="D967" i="2"/>
  <c r="D645" i="2"/>
  <c r="D625" i="2"/>
  <c r="D607" i="2"/>
  <c r="D475" i="2"/>
  <c r="D1165" i="2"/>
  <c r="D874" i="2"/>
  <c r="D679" i="2"/>
  <c r="D382" i="2"/>
  <c r="D840" i="2"/>
  <c r="D623" i="2"/>
  <c r="D249" i="2"/>
  <c r="D208" i="2"/>
  <c r="D638" i="2"/>
  <c r="D357" i="2"/>
  <c r="D224" i="2"/>
  <c r="D89" i="2"/>
  <c r="D61" i="2"/>
  <c r="D1113" i="2"/>
  <c r="D861" i="2"/>
  <c r="D660" i="2"/>
  <c r="D655" i="2"/>
  <c r="D621" i="2"/>
  <c r="D464" i="2"/>
  <c r="D430" i="2"/>
  <c r="D353" i="2"/>
  <c r="D1153" i="2"/>
  <c r="D1100" i="2"/>
  <c r="D1046" i="2"/>
  <c r="D741" i="2"/>
  <c r="D1177" i="2"/>
  <c r="D957" i="2"/>
  <c r="D581" i="2"/>
  <c r="D390" i="2"/>
  <c r="D319" i="2"/>
  <c r="D287" i="2"/>
  <c r="D197" i="2"/>
  <c r="D5" i="2"/>
  <c r="D876" i="2"/>
  <c r="D437" i="2"/>
  <c r="D381" i="2"/>
  <c r="D1088" i="2"/>
  <c r="D613" i="2"/>
  <c r="D1167" i="2"/>
  <c r="D1161" i="2"/>
  <c r="D1097" i="2"/>
  <c r="D852" i="2"/>
  <c r="D664" i="2"/>
  <c r="D549" i="2"/>
  <c r="D498" i="2"/>
  <c r="D492" i="2"/>
  <c r="D1111" i="2"/>
  <c r="D1054" i="2"/>
  <c r="D938" i="2"/>
  <c r="D783" i="2"/>
  <c r="D8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4" i="2"/>
  <c r="K45" i="2"/>
  <c r="K46" i="2"/>
  <c r="K47" i="2"/>
  <c r="K48" i="2"/>
  <c r="K49" i="2"/>
  <c r="K50" i="2"/>
  <c r="K51" i="2"/>
  <c r="K52" i="2"/>
  <c r="K54" i="2"/>
  <c r="K55" i="2"/>
  <c r="K56" i="2"/>
  <c r="K57" i="2"/>
  <c r="K58" i="2"/>
  <c r="K59" i="2"/>
  <c r="K60" i="2"/>
  <c r="K61" i="2"/>
  <c r="K62" i="2"/>
  <c r="K64" i="2"/>
  <c r="K65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4" i="2"/>
  <c r="K95" i="2"/>
  <c r="K96" i="2"/>
  <c r="K97" i="2"/>
  <c r="K98" i="2"/>
  <c r="K99" i="2"/>
  <c r="K100" i="2"/>
  <c r="K101" i="2"/>
  <c r="K103" i="2"/>
  <c r="K104" i="2"/>
  <c r="K105" i="2"/>
  <c r="K106" i="2"/>
  <c r="K107" i="2"/>
  <c r="K108" i="2"/>
  <c r="K110" i="2"/>
  <c r="K111" i="2"/>
  <c r="K112" i="2"/>
  <c r="K113" i="2"/>
  <c r="K114" i="2"/>
  <c r="K115" i="2"/>
  <c r="K116" i="2"/>
  <c r="K119" i="2"/>
  <c r="K120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1" i="2"/>
  <c r="K142" i="2"/>
  <c r="K143" i="2"/>
  <c r="K144" i="2"/>
  <c r="K145" i="2"/>
  <c r="K146" i="2"/>
  <c r="K147" i="2"/>
  <c r="K148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70" i="2"/>
  <c r="K172" i="2"/>
  <c r="K173" i="2"/>
  <c r="K174" i="2"/>
  <c r="K175" i="2"/>
  <c r="K176" i="2"/>
  <c r="K177" i="2"/>
  <c r="K178" i="2"/>
  <c r="K179" i="2"/>
  <c r="K180" i="2"/>
  <c r="K181" i="2"/>
  <c r="K182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3" i="2"/>
  <c r="K204" i="2"/>
  <c r="K205" i="2"/>
  <c r="K206" i="2"/>
  <c r="K207" i="2"/>
  <c r="K208" i="2"/>
  <c r="K210" i="2"/>
  <c r="K211" i="2"/>
  <c r="K212" i="2"/>
  <c r="K213" i="2"/>
  <c r="K214" i="2"/>
  <c r="K217" i="2"/>
  <c r="K218" i="2"/>
  <c r="K219" i="2"/>
  <c r="K220" i="2"/>
  <c r="K221" i="2"/>
  <c r="K224" i="2"/>
  <c r="K225" i="2"/>
  <c r="K226" i="2"/>
  <c r="K227" i="2"/>
  <c r="K228" i="2"/>
  <c r="K229" i="2"/>
  <c r="K230" i="2"/>
  <c r="K231" i="2"/>
  <c r="K232" i="2"/>
  <c r="K233" i="2"/>
  <c r="K234" i="2"/>
  <c r="K237" i="2"/>
  <c r="K238" i="2"/>
  <c r="K240" i="2"/>
  <c r="K241" i="2"/>
  <c r="K242" i="2"/>
  <c r="K243" i="2"/>
  <c r="K244" i="2"/>
  <c r="K245" i="2"/>
  <c r="K247" i="2"/>
  <c r="K249" i="2"/>
  <c r="K250" i="2"/>
  <c r="K251" i="2"/>
  <c r="K252" i="2"/>
  <c r="K253" i="2"/>
  <c r="K254" i="2"/>
  <c r="K255" i="2"/>
  <c r="K256" i="2"/>
  <c r="K257" i="2"/>
  <c r="K258" i="2"/>
  <c r="K259" i="2"/>
  <c r="K262" i="2"/>
  <c r="K263" i="2"/>
  <c r="K264" i="2"/>
  <c r="K265" i="2"/>
  <c r="K267" i="2"/>
  <c r="K268" i="2"/>
  <c r="K269" i="2"/>
  <c r="K270" i="2"/>
  <c r="K271" i="2"/>
  <c r="K272" i="2"/>
  <c r="K274" i="2"/>
  <c r="K275" i="2"/>
  <c r="K278" i="2"/>
  <c r="K279" i="2"/>
  <c r="K280" i="2"/>
  <c r="K281" i="2"/>
  <c r="K282" i="2"/>
  <c r="K283" i="2"/>
  <c r="K284" i="2"/>
  <c r="K285" i="2"/>
  <c r="K287" i="2"/>
  <c r="K289" i="2"/>
  <c r="K290" i="2"/>
  <c r="K291" i="2"/>
  <c r="K292" i="2"/>
  <c r="K293" i="2"/>
  <c r="K294" i="2"/>
  <c r="K295" i="2"/>
  <c r="K296" i="2"/>
  <c r="K297" i="2"/>
  <c r="K299" i="2"/>
  <c r="K302" i="2"/>
  <c r="K303" i="2"/>
  <c r="K304" i="2"/>
  <c r="K305" i="2"/>
  <c r="K306" i="2"/>
  <c r="K307" i="2"/>
  <c r="K308" i="2"/>
  <c r="K311" i="2"/>
  <c r="K312" i="2"/>
  <c r="K313" i="2"/>
  <c r="K314" i="2"/>
  <c r="K316" i="2"/>
  <c r="K317" i="2"/>
  <c r="K319" i="2"/>
  <c r="K320" i="2"/>
  <c r="K321" i="2"/>
  <c r="K322" i="2"/>
  <c r="K323" i="2"/>
  <c r="K324" i="2"/>
  <c r="K325" i="2"/>
  <c r="K326" i="2"/>
  <c r="K327" i="2"/>
  <c r="K328" i="2"/>
  <c r="K330" i="2"/>
  <c r="K331" i="2"/>
  <c r="K332" i="2"/>
  <c r="K333" i="2"/>
  <c r="K335" i="2"/>
  <c r="K336" i="2"/>
  <c r="K337" i="2"/>
  <c r="K338" i="2"/>
  <c r="K339" i="2"/>
  <c r="K341" i="2"/>
  <c r="K342" i="2"/>
  <c r="K344" i="2"/>
  <c r="K346" i="2"/>
  <c r="K348" i="2"/>
  <c r="K349" i="2"/>
  <c r="K350" i="2"/>
  <c r="K351" i="2"/>
  <c r="K352" i="2"/>
  <c r="K353" i="2"/>
  <c r="K354" i="2"/>
  <c r="K355" i="2"/>
  <c r="K356" i="2"/>
  <c r="K358" i="2"/>
  <c r="K359" i="2"/>
  <c r="K361" i="2"/>
  <c r="K362" i="2"/>
  <c r="K363" i="2"/>
  <c r="K365" i="2"/>
  <c r="K366" i="2"/>
  <c r="K367" i="2"/>
  <c r="K368" i="2"/>
  <c r="K369" i="2"/>
  <c r="K370" i="2"/>
  <c r="K371" i="2"/>
  <c r="K372" i="2"/>
  <c r="K374" i="2"/>
  <c r="K375" i="2"/>
  <c r="K376" i="2"/>
  <c r="K377" i="2"/>
  <c r="K378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5" i="2"/>
  <c r="K396" i="2"/>
  <c r="K397" i="2"/>
  <c r="K398" i="2"/>
  <c r="K399" i="2"/>
  <c r="K400" i="2"/>
  <c r="K401" i="2"/>
  <c r="K402" i="2"/>
  <c r="K403" i="2"/>
  <c r="K404" i="2"/>
  <c r="K405" i="2"/>
  <c r="K407" i="2"/>
  <c r="K408" i="2"/>
  <c r="K409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5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2" i="2"/>
  <c r="K463" i="2"/>
  <c r="K464" i="2"/>
  <c r="K465" i="2"/>
  <c r="K468" i="2"/>
  <c r="K469" i="2"/>
  <c r="K470" i="2"/>
  <c r="K471" i="2"/>
  <c r="K472" i="2"/>
  <c r="K473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90" i="2"/>
  <c r="K491" i="2"/>
  <c r="K492" i="2"/>
  <c r="K494" i="2"/>
  <c r="K495" i="2"/>
  <c r="K496" i="2"/>
  <c r="K497" i="2"/>
  <c r="K498" i="2"/>
  <c r="K499" i="2"/>
  <c r="K501" i="2"/>
  <c r="K502" i="2"/>
  <c r="K503" i="2"/>
  <c r="K504" i="2"/>
  <c r="K505" i="2"/>
  <c r="K506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8" i="2"/>
  <c r="K529" i="2"/>
  <c r="K530" i="2"/>
  <c r="K531" i="2"/>
  <c r="K532" i="2"/>
  <c r="K533" i="2"/>
  <c r="K534" i="2"/>
  <c r="K535" i="2"/>
  <c r="K536" i="2"/>
  <c r="K537" i="2"/>
  <c r="K539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9" i="2"/>
  <c r="K570" i="2"/>
  <c r="K572" i="2"/>
  <c r="K574" i="2"/>
  <c r="K575" i="2"/>
  <c r="K576" i="2"/>
  <c r="K577" i="2"/>
  <c r="K578" i="2"/>
  <c r="K579" i="2"/>
  <c r="K581" i="2"/>
  <c r="K582" i="2"/>
  <c r="K583" i="2"/>
  <c r="K584" i="2"/>
  <c r="K585" i="2"/>
  <c r="K586" i="2"/>
  <c r="K587" i="2"/>
  <c r="K588" i="2"/>
  <c r="K590" i="2"/>
  <c r="K591" i="2"/>
  <c r="K592" i="2"/>
  <c r="K593" i="2"/>
  <c r="K594" i="2"/>
  <c r="K595" i="2"/>
  <c r="K597" i="2"/>
  <c r="K598" i="2"/>
  <c r="K599" i="2"/>
  <c r="K600" i="2"/>
  <c r="K602" i="2"/>
  <c r="K603" i="2"/>
  <c r="K604" i="2"/>
  <c r="K605" i="2"/>
  <c r="K606" i="2"/>
  <c r="K607" i="2"/>
  <c r="K608" i="2"/>
  <c r="K609" i="2"/>
  <c r="K610" i="2"/>
  <c r="K611" i="2"/>
  <c r="K613" i="2"/>
  <c r="K615" i="2"/>
  <c r="K616" i="2"/>
  <c r="K618" i="2"/>
  <c r="K619" i="2"/>
  <c r="K620" i="2"/>
  <c r="K621" i="2"/>
  <c r="K623" i="2"/>
  <c r="K624" i="2"/>
  <c r="K625" i="2"/>
  <c r="K626" i="2"/>
  <c r="K628" i="2"/>
  <c r="K629" i="2"/>
  <c r="K630" i="2"/>
  <c r="K634" i="2"/>
  <c r="K635" i="2"/>
  <c r="K636" i="2"/>
  <c r="K637" i="2"/>
  <c r="K638" i="2"/>
  <c r="K639" i="2"/>
  <c r="K640" i="2"/>
  <c r="K641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8" i="2"/>
  <c r="K659" i="2"/>
  <c r="K660" i="2"/>
  <c r="K662" i="2"/>
  <c r="K663" i="2"/>
  <c r="K664" i="2"/>
  <c r="K665" i="2"/>
  <c r="K666" i="2"/>
  <c r="K667" i="2"/>
  <c r="K668" i="2"/>
  <c r="K670" i="2"/>
  <c r="K671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7" i="2"/>
  <c r="K708" i="2"/>
  <c r="K709" i="2"/>
  <c r="K710" i="2"/>
  <c r="K711" i="2"/>
  <c r="K712" i="2"/>
  <c r="K714" i="2"/>
  <c r="K716" i="2"/>
  <c r="K717" i="2"/>
  <c r="K718" i="2"/>
  <c r="K719" i="2"/>
  <c r="K720" i="2"/>
  <c r="K721" i="2"/>
  <c r="K725" i="2"/>
  <c r="K726" i="2"/>
  <c r="K727" i="2"/>
  <c r="K728" i="2"/>
  <c r="K729" i="2"/>
  <c r="K730" i="2"/>
  <c r="K731" i="2"/>
  <c r="K733" i="2"/>
  <c r="K734" i="2"/>
  <c r="K735" i="2"/>
  <c r="K736" i="2"/>
  <c r="K737" i="2"/>
  <c r="K738" i="2"/>
  <c r="K739" i="2"/>
  <c r="K740" i="2"/>
  <c r="K742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9" i="2"/>
  <c r="K770" i="2"/>
  <c r="K771" i="2"/>
  <c r="K772" i="2"/>
  <c r="K773" i="2"/>
  <c r="K774" i="2"/>
  <c r="K775" i="2"/>
  <c r="K776" i="2"/>
  <c r="K777" i="2"/>
  <c r="K778" i="2"/>
  <c r="K779" i="2"/>
  <c r="K781" i="2"/>
  <c r="K782" i="2"/>
  <c r="K784" i="2"/>
  <c r="K785" i="2"/>
  <c r="K786" i="2"/>
  <c r="K787" i="2"/>
  <c r="K788" i="2"/>
  <c r="K789" i="2"/>
  <c r="K790" i="2"/>
  <c r="K792" i="2"/>
  <c r="K793" i="2"/>
  <c r="K794" i="2"/>
  <c r="K795" i="2"/>
  <c r="K796" i="2"/>
  <c r="K799" i="2"/>
  <c r="K800" i="2"/>
  <c r="K801" i="2"/>
  <c r="K802" i="2"/>
  <c r="K803" i="2"/>
  <c r="K804" i="2"/>
  <c r="K805" i="2"/>
  <c r="K807" i="2"/>
  <c r="K808" i="2"/>
  <c r="K809" i="2"/>
  <c r="K810" i="2"/>
  <c r="K811" i="2"/>
  <c r="K812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4" i="2"/>
  <c r="K836" i="2"/>
  <c r="K838" i="2"/>
  <c r="K839" i="2"/>
  <c r="K841" i="2"/>
  <c r="K842" i="2"/>
  <c r="K843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9" i="2"/>
  <c r="K910" i="2"/>
  <c r="K911" i="2"/>
  <c r="K912" i="2"/>
  <c r="K913" i="2"/>
  <c r="K914" i="2"/>
  <c r="K915" i="2"/>
  <c r="K916" i="2"/>
  <c r="K917" i="2"/>
  <c r="K920" i="2"/>
  <c r="K921" i="2"/>
  <c r="K922" i="2"/>
  <c r="K923" i="2"/>
  <c r="K925" i="2"/>
  <c r="K926" i="2"/>
  <c r="K927" i="2"/>
  <c r="K928" i="2"/>
  <c r="K930" i="2"/>
  <c r="K931" i="2"/>
  <c r="K933" i="2"/>
  <c r="K934" i="2"/>
  <c r="K935" i="2"/>
  <c r="K936" i="2"/>
  <c r="K937" i="2"/>
  <c r="K938" i="2"/>
  <c r="K939" i="2"/>
  <c r="K940" i="2"/>
  <c r="K942" i="2"/>
  <c r="K943" i="2"/>
  <c r="K945" i="2"/>
  <c r="K946" i="2"/>
  <c r="K947" i="2"/>
  <c r="K948" i="2"/>
  <c r="K950" i="2"/>
  <c r="K951" i="2"/>
  <c r="K952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9" i="2"/>
  <c r="K971" i="2"/>
  <c r="K972" i="2"/>
  <c r="K973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5" i="2"/>
  <c r="K998" i="2"/>
  <c r="K999" i="2"/>
  <c r="K1000" i="2"/>
  <c r="K1001" i="2"/>
  <c r="K1003" i="2"/>
  <c r="K1004" i="2"/>
  <c r="K1005" i="2"/>
  <c r="K1006" i="2"/>
  <c r="K1010" i="2"/>
  <c r="K1011" i="2"/>
  <c r="K1013" i="2"/>
  <c r="K1014" i="2"/>
  <c r="K1015" i="2"/>
  <c r="K1017" i="2"/>
  <c r="K1018" i="2"/>
  <c r="K1019" i="2"/>
  <c r="K1021" i="2"/>
  <c r="K1023" i="2"/>
  <c r="K1024" i="2"/>
  <c r="K1025" i="2"/>
  <c r="K1026" i="2"/>
  <c r="K1027" i="2"/>
  <c r="K1028" i="2"/>
  <c r="K1029" i="2"/>
  <c r="K1030" i="2"/>
  <c r="K1032" i="2"/>
  <c r="K1033" i="2"/>
  <c r="K1034" i="2"/>
  <c r="K1035" i="2"/>
  <c r="K1036" i="2"/>
  <c r="K1037" i="2"/>
  <c r="K1038" i="2"/>
  <c r="K1039" i="2"/>
  <c r="K1040" i="2"/>
  <c r="K1042" i="2"/>
  <c r="K1043" i="2"/>
  <c r="K1047" i="2"/>
  <c r="K1049" i="2"/>
  <c r="K1050" i="2"/>
  <c r="K1051" i="2"/>
  <c r="K1052" i="2"/>
  <c r="K1053" i="2"/>
  <c r="K1054" i="2"/>
  <c r="K1056" i="2"/>
  <c r="K1057" i="2"/>
  <c r="K1058" i="2"/>
  <c r="K1059" i="2"/>
  <c r="K1062" i="2"/>
  <c r="K1063" i="2"/>
  <c r="K1064" i="2"/>
  <c r="K1067" i="2"/>
  <c r="K1068" i="2"/>
  <c r="K1069" i="2"/>
  <c r="K1071" i="2"/>
  <c r="K1072" i="2"/>
  <c r="K1073" i="2"/>
  <c r="K1074" i="2"/>
  <c r="K1075" i="2"/>
  <c r="K1076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9" i="2"/>
  <c r="K1110" i="2"/>
  <c r="K1111" i="2"/>
  <c r="K1112" i="2"/>
  <c r="K1115" i="2"/>
  <c r="K1116" i="2"/>
  <c r="K1117" i="2"/>
  <c r="K1118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3" i="2"/>
  <c r="K1134" i="2"/>
  <c r="K1135" i="2"/>
  <c r="K1137" i="2"/>
  <c r="K1138" i="2"/>
  <c r="K1140" i="2"/>
  <c r="K1142" i="2"/>
  <c r="K1143" i="2"/>
  <c r="K1144" i="2"/>
  <c r="K1145" i="2"/>
  <c r="K1146" i="2"/>
  <c r="K1147" i="2"/>
  <c r="K1150" i="2"/>
  <c r="K1151" i="2"/>
  <c r="K1152" i="2"/>
  <c r="K1153" i="2"/>
  <c r="K1155" i="2"/>
  <c r="K1156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80" i="2"/>
  <c r="K1181" i="2"/>
  <c r="K1182" i="2"/>
  <c r="K1183" i="2"/>
  <c r="K1185" i="2"/>
  <c r="K1186" i="2"/>
  <c r="K1187" i="2"/>
  <c r="K1189" i="2"/>
  <c r="K1190" i="2"/>
  <c r="K1191" i="2"/>
  <c r="K1192" i="2"/>
  <c r="K1194" i="2"/>
  <c r="K1196" i="2"/>
  <c r="K1197" i="2"/>
  <c r="K1198" i="2"/>
  <c r="K1199" i="2"/>
  <c r="K1201" i="2"/>
  <c r="K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<sst xmlns="http://schemas.openxmlformats.org/spreadsheetml/2006/main" count="15500" uniqueCount="93">
  <si>
    <t>transaction_id</t>
  </si>
  <si>
    <t>product_id</t>
  </si>
  <si>
    <t>sale_date</t>
  </si>
  <si>
    <t>product_name</t>
  </si>
  <si>
    <t>brand</t>
  </si>
  <si>
    <t>store_id</t>
  </si>
  <si>
    <t>region</t>
  </si>
  <si>
    <t>quantity</t>
  </si>
  <si>
    <t>discount</t>
  </si>
  <si>
    <t>total</t>
  </si>
  <si>
    <t>payment_method</t>
  </si>
  <si>
    <t>sales_rep</t>
  </si>
  <si>
    <t>is_active</t>
  </si>
  <si>
    <t>P001</t>
  </si>
  <si>
    <t xml:space="preserve">Classic Crew-Neck Tee  </t>
  </si>
  <si>
    <t>GAP</t>
  </si>
  <si>
    <t>S002</t>
  </si>
  <si>
    <t>West</t>
  </si>
  <si>
    <t>DEBIT CARD</t>
  </si>
  <si>
    <t>P008</t>
  </si>
  <si>
    <t>Denim Jacket</t>
  </si>
  <si>
    <t>S007</t>
  </si>
  <si>
    <t>Northeast</t>
  </si>
  <si>
    <t>Maria S.</t>
  </si>
  <si>
    <t>P015</t>
  </si>
  <si>
    <t>NULL</t>
  </si>
  <si>
    <t>S001</t>
  </si>
  <si>
    <t>CREDIT CARD</t>
  </si>
  <si>
    <t>Priya M.</t>
  </si>
  <si>
    <t>GIFT CARD</t>
  </si>
  <si>
    <t>Amy K.</t>
  </si>
  <si>
    <t>P006</t>
  </si>
  <si>
    <t>Floral Midi Dress</t>
  </si>
  <si>
    <t>Banana Republic</t>
  </si>
  <si>
    <t>S004</t>
  </si>
  <si>
    <t>South</t>
  </si>
  <si>
    <t>APPLE PAY</t>
  </si>
  <si>
    <t>P007</t>
  </si>
  <si>
    <t>Running Leggings</t>
  </si>
  <si>
    <t>Athleta</t>
  </si>
  <si>
    <t>S006</t>
  </si>
  <si>
    <t>Tom B.</t>
  </si>
  <si>
    <t>P003</t>
  </si>
  <si>
    <t>puffer jacket</t>
  </si>
  <si>
    <t>S008</t>
  </si>
  <si>
    <t>Lin W.</t>
  </si>
  <si>
    <t>P004</t>
  </si>
  <si>
    <t>Canvas Sneakers</t>
  </si>
  <si>
    <t>Old Navy</t>
  </si>
  <si>
    <t>David N.</t>
  </si>
  <si>
    <t>P010</t>
  </si>
  <si>
    <t>High-Rise Jeans</t>
  </si>
  <si>
    <t>CASH</t>
  </si>
  <si>
    <t>S005</t>
  </si>
  <si>
    <t>Southeast</t>
  </si>
  <si>
    <t>James T.</t>
  </si>
  <si>
    <t>P018</t>
  </si>
  <si>
    <t>Rain Jacket</t>
  </si>
  <si>
    <t>P002</t>
  </si>
  <si>
    <t>Slim Chino Pants</t>
  </si>
  <si>
    <t>NA</t>
  </si>
  <si>
    <t>P005</t>
  </si>
  <si>
    <t>Leather Belt</t>
  </si>
  <si>
    <t>Carlos R.</t>
  </si>
  <si>
    <t>P009</t>
  </si>
  <si>
    <t>Wool Sweater</t>
  </si>
  <si>
    <t>S003</t>
  </si>
  <si>
    <t>Midwest</t>
  </si>
  <si>
    <t>P012</t>
  </si>
  <si>
    <t xml:space="preserve">Ankle Boots  </t>
  </si>
  <si>
    <t>n/a</t>
  </si>
  <si>
    <t>P020</t>
  </si>
  <si>
    <t>Crossbody Bag</t>
  </si>
  <si>
    <t>Yes</t>
  </si>
  <si>
    <t>P013</t>
  </si>
  <si>
    <t>Silk Scarf</t>
  </si>
  <si>
    <t>Intermix</t>
  </si>
  <si>
    <t>No</t>
  </si>
  <si>
    <t>P017</t>
  </si>
  <si>
    <t>Cargo Shorts</t>
  </si>
  <si>
    <t>PAYPAL</t>
  </si>
  <si>
    <t>P019</t>
  </si>
  <si>
    <t>Slip-On Loafers</t>
  </si>
  <si>
    <t>P016</t>
  </si>
  <si>
    <t>Graphic Hoodie</t>
  </si>
  <si>
    <t>P014</t>
  </si>
  <si>
    <t xml:space="preserve">Wrap Dress  </t>
  </si>
  <si>
    <t>Sports Bra</t>
  </si>
  <si>
    <t>P011</t>
  </si>
  <si>
    <t>Trench Coat</t>
  </si>
  <si>
    <t>PayPal</t>
  </si>
  <si>
    <t>Puffer Jacket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</si>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</sst>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5" fontId="0" fillId="0" borderId="0" xfId="0" applyNumberFormat="1"/>
    <xf numFmtId="14" fontId="0" fillId="0" borderId="0" xfId="0" applyNumberForma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/>
    <xf numFmtId="9" fontId="18" fillId="0" borderId="0" xfId="1" applyFont="1"/>
    <xf numFmtId="9" fontId="0" fillId="0" borderId="0" xfId="1" applyFont="1"/>
    <xf numFmtId="2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1F00-7AEC-D14E-9E96-7CCF1C13194A}">
  <dimension ref="A1:M1201"/>
  <sheetViews>
    <sheetView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s="1">
        <v>45031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>
        <v>0</v>
      </c>
      <c r="J2">
        <v>59.97</v>
      </c>
      <c r="K2" t="s">
        <v>18</v>
      </c>
      <c r="M2">
        <v>0</v>
      </c>
    </row>
    <row r="3" spans="1:13" x14ac:dyDescent="0.2">
      <c r="A3">
        <v>2</v>
      </c>
      <c r="B3" t="s">
        <v>19</v>
      </c>
      <c r="C3" s="2">
        <v>45641</v>
      </c>
      <c r="D3" t="s">
        <v>20</v>
      </c>
      <c r="E3" t="s">
        <v>15</v>
      </c>
      <c r="F3" t="s">
        <v>21</v>
      </c>
      <c r="G3" t="s">
        <v>22</v>
      </c>
      <c r="H3">
        <v>4</v>
      </c>
      <c r="I3">
        <v>0.1</v>
      </c>
      <c r="J3">
        <v>323.82</v>
      </c>
      <c r="K3" t="s">
        <v>18</v>
      </c>
      <c r="L3" t="s">
        <v>23</v>
      </c>
      <c r="M3" t="b">
        <v>1</v>
      </c>
    </row>
    <row r="4" spans="1:13" x14ac:dyDescent="0.2">
      <c r="A4">
        <v>3</v>
      </c>
      <c r="B4" t="s">
        <v>24</v>
      </c>
      <c r="C4" s="2">
        <v>45492</v>
      </c>
      <c r="D4" t="s">
        <v>25</v>
      </c>
      <c r="E4" t="s">
        <v>25</v>
      </c>
      <c r="F4" t="s">
        <v>26</v>
      </c>
      <c r="G4" t="s">
        <v>22</v>
      </c>
      <c r="H4">
        <v>5</v>
      </c>
      <c r="I4">
        <v>0</v>
      </c>
      <c r="J4">
        <v>224.75</v>
      </c>
      <c r="K4" t="s">
        <v>27</v>
      </c>
      <c r="L4" t="s">
        <v>28</v>
      </c>
      <c r="M4" t="s">
        <v>25</v>
      </c>
    </row>
    <row r="5" spans="1:13" x14ac:dyDescent="0.2">
      <c r="A5">
        <v>4</v>
      </c>
      <c r="B5" t="s">
        <v>19</v>
      </c>
      <c r="C5" s="2">
        <v>45577</v>
      </c>
      <c r="D5" t="s">
        <v>25</v>
      </c>
      <c r="E5" t="s">
        <v>25</v>
      </c>
      <c r="F5" t="s">
        <v>16</v>
      </c>
      <c r="G5" t="s">
        <v>17</v>
      </c>
      <c r="H5">
        <v>1</v>
      </c>
      <c r="I5">
        <v>0.2</v>
      </c>
      <c r="J5">
        <v>71.959999999999994</v>
      </c>
      <c r="K5" t="s">
        <v>29</v>
      </c>
      <c r="L5" t="s">
        <v>30</v>
      </c>
      <c r="M5" t="s">
        <v>25</v>
      </c>
    </row>
    <row r="6" spans="1:13" x14ac:dyDescent="0.2">
      <c r="A6">
        <v>5</v>
      </c>
      <c r="B6" t="s">
        <v>31</v>
      </c>
      <c r="C6" s="1">
        <v>45631</v>
      </c>
      <c r="D6" t="s">
        <v>32</v>
      </c>
      <c r="E6" t="s">
        <v>33</v>
      </c>
      <c r="F6" t="s">
        <v>34</v>
      </c>
      <c r="G6" t="s">
        <v>35</v>
      </c>
      <c r="H6">
        <v>4</v>
      </c>
      <c r="I6">
        <v>0</v>
      </c>
      <c r="J6">
        <v>319.8</v>
      </c>
      <c r="K6" t="s">
        <v>36</v>
      </c>
      <c r="M6" t="b">
        <v>0</v>
      </c>
    </row>
    <row r="7" spans="1:13" x14ac:dyDescent="0.2">
      <c r="A7">
        <v>6</v>
      </c>
      <c r="B7" t="s">
        <v>37</v>
      </c>
      <c r="C7" s="2">
        <v>45198</v>
      </c>
      <c r="D7" t="s">
        <v>38</v>
      </c>
      <c r="E7" t="s">
        <v>39</v>
      </c>
      <c r="F7" t="s">
        <v>40</v>
      </c>
      <c r="G7" t="s">
        <v>17</v>
      </c>
      <c r="H7">
        <v>4</v>
      </c>
      <c r="I7">
        <v>0.2</v>
      </c>
      <c r="J7">
        <v>207.84</v>
      </c>
      <c r="K7" t="s">
        <v>18</v>
      </c>
      <c r="L7" t="s">
        <v>41</v>
      </c>
      <c r="M7">
        <v>1</v>
      </c>
    </row>
    <row r="8" spans="1:13" x14ac:dyDescent="0.2">
      <c r="A8">
        <v>7</v>
      </c>
      <c r="B8" t="s">
        <v>42</v>
      </c>
      <c r="C8" s="1">
        <v>45090</v>
      </c>
      <c r="D8" t="s">
        <v>43</v>
      </c>
      <c r="E8" t="s">
        <v>15</v>
      </c>
      <c r="F8" t="s">
        <v>44</v>
      </c>
      <c r="H8">
        <v>1</v>
      </c>
      <c r="I8">
        <v>0</v>
      </c>
      <c r="J8">
        <v>129</v>
      </c>
      <c r="K8" t="s">
        <v>36</v>
      </c>
      <c r="L8" t="s">
        <v>45</v>
      </c>
      <c r="M8" t="b">
        <v>1</v>
      </c>
    </row>
    <row r="9" spans="1:13" x14ac:dyDescent="0.2">
      <c r="A9">
        <v>8</v>
      </c>
      <c r="B9" t="s">
        <v>46</v>
      </c>
      <c r="C9" s="2">
        <v>45227</v>
      </c>
      <c r="D9" t="s">
        <v>47</v>
      </c>
      <c r="E9" t="s">
        <v>48</v>
      </c>
      <c r="F9" t="s">
        <v>26</v>
      </c>
      <c r="G9" t="s">
        <v>22</v>
      </c>
      <c r="H9">
        <v>5</v>
      </c>
      <c r="I9">
        <v>0.1</v>
      </c>
      <c r="J9">
        <v>224.78</v>
      </c>
      <c r="K9" t="s">
        <v>27</v>
      </c>
      <c r="L9" t="s">
        <v>49</v>
      </c>
      <c r="M9">
        <v>0</v>
      </c>
    </row>
    <row r="10" spans="1:13" x14ac:dyDescent="0.2">
      <c r="A10">
        <v>9</v>
      </c>
      <c r="B10" t="s">
        <v>50</v>
      </c>
      <c r="C10" s="1">
        <v>45092</v>
      </c>
      <c r="D10" t="s">
        <v>51</v>
      </c>
      <c r="E10" t="s">
        <v>15</v>
      </c>
      <c r="F10" t="s">
        <v>16</v>
      </c>
      <c r="G10" t="s">
        <v>17</v>
      </c>
      <c r="H10">
        <v>5</v>
      </c>
      <c r="I10">
        <v>0.05</v>
      </c>
      <c r="J10">
        <v>332.26</v>
      </c>
      <c r="K10" t="s">
        <v>52</v>
      </c>
      <c r="L10" t="s">
        <v>45</v>
      </c>
      <c r="M10">
        <v>0</v>
      </c>
    </row>
    <row r="11" spans="1:13" x14ac:dyDescent="0.2">
      <c r="A11">
        <v>10</v>
      </c>
      <c r="B11" t="s">
        <v>19</v>
      </c>
      <c r="C11" s="2">
        <v>45424</v>
      </c>
      <c r="D11" t="s">
        <v>20</v>
      </c>
      <c r="E11" t="s">
        <v>15</v>
      </c>
      <c r="F11" t="s">
        <v>53</v>
      </c>
      <c r="G11" t="s">
        <v>54</v>
      </c>
      <c r="H11">
        <v>1</v>
      </c>
      <c r="I11">
        <v>0.05</v>
      </c>
      <c r="J11">
        <v>85.45</v>
      </c>
      <c r="K11" t="s">
        <v>27</v>
      </c>
      <c r="L11" t="s">
        <v>55</v>
      </c>
      <c r="M11" t="b">
        <v>1</v>
      </c>
    </row>
    <row r="12" spans="1:13" x14ac:dyDescent="0.2">
      <c r="A12">
        <v>11</v>
      </c>
      <c r="B12" t="s">
        <v>56</v>
      </c>
      <c r="C12" s="2">
        <v>45592</v>
      </c>
      <c r="D12" t="s">
        <v>57</v>
      </c>
      <c r="E12" t="s">
        <v>48</v>
      </c>
      <c r="F12" t="s">
        <v>34</v>
      </c>
      <c r="G12" t="s">
        <v>35</v>
      </c>
      <c r="H12">
        <v>2</v>
      </c>
      <c r="I12">
        <v>0.1</v>
      </c>
      <c r="J12">
        <v>153</v>
      </c>
      <c r="K12" t="s">
        <v>36</v>
      </c>
      <c r="L12" t="s">
        <v>28</v>
      </c>
      <c r="M12">
        <v>1</v>
      </c>
    </row>
    <row r="13" spans="1:13" x14ac:dyDescent="0.2">
      <c r="A13">
        <v>12</v>
      </c>
      <c r="B13" t="s">
        <v>58</v>
      </c>
      <c r="C13" s="1">
        <v>44999</v>
      </c>
      <c r="D13" t="s">
        <v>59</v>
      </c>
      <c r="E13" t="s">
        <v>15</v>
      </c>
      <c r="F13" t="s">
        <v>16</v>
      </c>
      <c r="G13" t="s">
        <v>17</v>
      </c>
      <c r="H13">
        <v>2</v>
      </c>
      <c r="I13">
        <v>0</v>
      </c>
      <c r="J13">
        <v>119.9</v>
      </c>
      <c r="K13" t="s">
        <v>52</v>
      </c>
      <c r="L13" t="s">
        <v>23</v>
      </c>
      <c r="M13">
        <v>1</v>
      </c>
    </row>
    <row r="14" spans="1:13" x14ac:dyDescent="0.2">
      <c r="A14">
        <v>13</v>
      </c>
      <c r="B14" t="s">
        <v>37</v>
      </c>
      <c r="C14" s="2">
        <v>45360</v>
      </c>
      <c r="D14" t="s">
        <v>38</v>
      </c>
      <c r="E14" t="s">
        <v>39</v>
      </c>
      <c r="F14" t="s">
        <v>21</v>
      </c>
      <c r="G14" t="s">
        <v>22</v>
      </c>
      <c r="H14">
        <v>1</v>
      </c>
      <c r="I14">
        <v>0</v>
      </c>
      <c r="J14">
        <v>64.95</v>
      </c>
      <c r="K14" t="s">
        <v>52</v>
      </c>
      <c r="L14" t="s">
        <v>28</v>
      </c>
      <c r="M14">
        <v>1</v>
      </c>
    </row>
    <row r="15" spans="1:13" x14ac:dyDescent="0.2">
      <c r="A15">
        <v>14</v>
      </c>
      <c r="B15" t="s">
        <v>37</v>
      </c>
      <c r="C15" s="2">
        <v>45114</v>
      </c>
      <c r="D15" t="s">
        <v>38</v>
      </c>
      <c r="E15" t="s">
        <v>39</v>
      </c>
      <c r="F15" t="s">
        <v>34</v>
      </c>
      <c r="G15" t="s">
        <v>35</v>
      </c>
      <c r="H15">
        <v>2</v>
      </c>
      <c r="I15">
        <v>0.25</v>
      </c>
      <c r="J15">
        <v>97.43</v>
      </c>
      <c r="K15" t="s">
        <v>29</v>
      </c>
      <c r="L15" t="s">
        <v>45</v>
      </c>
      <c r="M15">
        <v>1</v>
      </c>
    </row>
    <row r="16" spans="1:13" x14ac:dyDescent="0.2">
      <c r="A16">
        <v>15</v>
      </c>
      <c r="B16" t="s">
        <v>42</v>
      </c>
      <c r="C16" s="2">
        <v>45419</v>
      </c>
      <c r="D16" t="s">
        <v>43</v>
      </c>
      <c r="E16" t="s">
        <v>15</v>
      </c>
      <c r="F16" t="s">
        <v>26</v>
      </c>
      <c r="G16" t="s">
        <v>22</v>
      </c>
      <c r="H16">
        <v>2</v>
      </c>
      <c r="I16" t="s">
        <v>60</v>
      </c>
      <c r="J16">
        <v>258</v>
      </c>
      <c r="K16" t="s">
        <v>29</v>
      </c>
      <c r="L16" t="s">
        <v>28</v>
      </c>
      <c r="M16" t="b">
        <v>1</v>
      </c>
    </row>
    <row r="17" spans="1:13" x14ac:dyDescent="0.2">
      <c r="A17">
        <v>16</v>
      </c>
      <c r="B17" t="s">
        <v>61</v>
      </c>
      <c r="C17" s="1">
        <v>45520</v>
      </c>
      <c r="D17" t="s">
        <v>62</v>
      </c>
      <c r="E17" t="s">
        <v>33</v>
      </c>
      <c r="F17" t="s">
        <v>44</v>
      </c>
      <c r="H17">
        <v>2</v>
      </c>
      <c r="I17">
        <v>0.1</v>
      </c>
      <c r="J17">
        <v>62.98</v>
      </c>
      <c r="K17" t="s">
        <v>27</v>
      </c>
      <c r="L17" t="s">
        <v>63</v>
      </c>
      <c r="M17">
        <v>0</v>
      </c>
    </row>
    <row r="18" spans="1:13" x14ac:dyDescent="0.2">
      <c r="A18">
        <v>17</v>
      </c>
      <c r="B18" t="s">
        <v>31</v>
      </c>
      <c r="C18" s="1">
        <v>45049</v>
      </c>
      <c r="D18" t="s">
        <v>32</v>
      </c>
      <c r="E18" t="s">
        <v>33</v>
      </c>
      <c r="F18" t="s">
        <v>16</v>
      </c>
      <c r="G18" t="s">
        <v>17</v>
      </c>
      <c r="H18">
        <v>1</v>
      </c>
      <c r="I18">
        <v>0</v>
      </c>
      <c r="J18">
        <v>79.95</v>
      </c>
      <c r="K18" t="s">
        <v>29</v>
      </c>
      <c r="L18" t="s">
        <v>63</v>
      </c>
      <c r="M18" t="b">
        <v>0</v>
      </c>
    </row>
    <row r="19" spans="1:13" x14ac:dyDescent="0.2">
      <c r="A19">
        <v>18</v>
      </c>
      <c r="B19" t="s">
        <v>19</v>
      </c>
      <c r="C19" s="2">
        <v>45587</v>
      </c>
      <c r="D19" t="s">
        <v>20</v>
      </c>
      <c r="E19" t="s">
        <v>15</v>
      </c>
      <c r="F19" t="s">
        <v>40</v>
      </c>
      <c r="G19" t="s">
        <v>17</v>
      </c>
      <c r="H19">
        <v>3</v>
      </c>
      <c r="I19">
        <v>0</v>
      </c>
      <c r="J19">
        <v>269.85000000000002</v>
      </c>
      <c r="K19" t="s">
        <v>36</v>
      </c>
      <c r="L19" t="s">
        <v>45</v>
      </c>
      <c r="M19" t="b">
        <v>1</v>
      </c>
    </row>
    <row r="20" spans="1:13" x14ac:dyDescent="0.2">
      <c r="A20">
        <v>19</v>
      </c>
      <c r="B20" t="s">
        <v>19</v>
      </c>
      <c r="C20" s="1">
        <v>45483</v>
      </c>
      <c r="D20" t="s">
        <v>20</v>
      </c>
      <c r="E20" t="s">
        <v>15</v>
      </c>
      <c r="F20" t="s">
        <v>16</v>
      </c>
      <c r="G20" t="s">
        <v>17</v>
      </c>
      <c r="H20">
        <v>3</v>
      </c>
      <c r="I20">
        <v>0.1</v>
      </c>
      <c r="J20">
        <v>242.87</v>
      </c>
      <c r="K20" t="s">
        <v>29</v>
      </c>
      <c r="L20" t="s">
        <v>45</v>
      </c>
      <c r="M20" t="b">
        <v>1</v>
      </c>
    </row>
    <row r="21" spans="1:13" x14ac:dyDescent="0.2">
      <c r="A21">
        <v>20</v>
      </c>
      <c r="B21" t="s">
        <v>64</v>
      </c>
      <c r="C21" s="1">
        <v>45215</v>
      </c>
      <c r="D21" t="s">
        <v>65</v>
      </c>
      <c r="E21" t="s">
        <v>33</v>
      </c>
      <c r="F21" t="s">
        <v>66</v>
      </c>
      <c r="G21" t="s">
        <v>67</v>
      </c>
      <c r="H21">
        <v>1</v>
      </c>
      <c r="I21">
        <v>0</v>
      </c>
      <c r="J21">
        <v>74.95</v>
      </c>
      <c r="K21" t="s">
        <v>52</v>
      </c>
      <c r="L21" t="s">
        <v>45</v>
      </c>
      <c r="M21">
        <v>0</v>
      </c>
    </row>
    <row r="22" spans="1:13" x14ac:dyDescent="0.2">
      <c r="A22">
        <v>21</v>
      </c>
      <c r="B22" t="s">
        <v>64</v>
      </c>
      <c r="C22" s="2">
        <v>45579</v>
      </c>
      <c r="D22" t="s">
        <v>65</v>
      </c>
      <c r="E22" t="s">
        <v>33</v>
      </c>
      <c r="F22" t="s">
        <v>21</v>
      </c>
      <c r="G22" t="s">
        <v>22</v>
      </c>
      <c r="H22">
        <v>1</v>
      </c>
      <c r="I22">
        <v>0</v>
      </c>
      <c r="J22">
        <v>74.95</v>
      </c>
      <c r="K22" t="s">
        <v>18</v>
      </c>
      <c r="L22" t="s">
        <v>49</v>
      </c>
      <c r="M22">
        <v>0</v>
      </c>
    </row>
    <row r="23" spans="1:13" x14ac:dyDescent="0.2">
      <c r="A23">
        <v>22</v>
      </c>
      <c r="B23" t="s">
        <v>68</v>
      </c>
      <c r="C23" s="2">
        <v>44969</v>
      </c>
      <c r="D23" t="s">
        <v>69</v>
      </c>
      <c r="E23" t="s">
        <v>33</v>
      </c>
      <c r="F23" t="s">
        <v>26</v>
      </c>
      <c r="G23" t="s">
        <v>22</v>
      </c>
      <c r="H23">
        <v>5</v>
      </c>
      <c r="I23" t="s">
        <v>70</v>
      </c>
      <c r="J23">
        <v>595</v>
      </c>
      <c r="K23" t="s">
        <v>18</v>
      </c>
      <c r="L23" t="s">
        <v>28</v>
      </c>
      <c r="M23" t="b">
        <v>0</v>
      </c>
    </row>
    <row r="24" spans="1:13" x14ac:dyDescent="0.2">
      <c r="A24">
        <v>23</v>
      </c>
      <c r="B24" t="s">
        <v>71</v>
      </c>
      <c r="C24" s="2">
        <v>45349</v>
      </c>
      <c r="D24" t="s">
        <v>72</v>
      </c>
      <c r="E24" t="s">
        <v>33</v>
      </c>
      <c r="F24" t="s">
        <v>21</v>
      </c>
      <c r="G24" t="s">
        <v>22</v>
      </c>
      <c r="H24">
        <v>2</v>
      </c>
      <c r="I24">
        <v>0.05</v>
      </c>
      <c r="J24">
        <v>113.9</v>
      </c>
      <c r="K24" t="s">
        <v>18</v>
      </c>
      <c r="L24" t="s">
        <v>45</v>
      </c>
      <c r="M24" t="s">
        <v>73</v>
      </c>
    </row>
    <row r="25" spans="1:13" x14ac:dyDescent="0.2">
      <c r="A25">
        <v>24</v>
      </c>
      <c r="B25" t="s">
        <v>74</v>
      </c>
      <c r="C25" s="2">
        <v>45398</v>
      </c>
      <c r="D25" t="s">
        <v>75</v>
      </c>
      <c r="E25" t="s">
        <v>76</v>
      </c>
      <c r="F25" t="s">
        <v>16</v>
      </c>
      <c r="G25" t="s">
        <v>17</v>
      </c>
      <c r="H25">
        <v>1</v>
      </c>
      <c r="J25">
        <v>44.95</v>
      </c>
      <c r="K25" t="s">
        <v>18</v>
      </c>
      <c r="M25" t="s">
        <v>77</v>
      </c>
    </row>
    <row r="26" spans="1:13" x14ac:dyDescent="0.2">
      <c r="A26">
        <v>25</v>
      </c>
      <c r="B26" t="s">
        <v>78</v>
      </c>
      <c r="C26" s="2">
        <v>45194</v>
      </c>
      <c r="D26" t="s">
        <v>79</v>
      </c>
      <c r="E26" t="s">
        <v>48</v>
      </c>
      <c r="F26" t="s">
        <v>40</v>
      </c>
      <c r="G26" t="s">
        <v>17</v>
      </c>
      <c r="H26">
        <v>4</v>
      </c>
      <c r="I26">
        <v>0.15</v>
      </c>
      <c r="J26">
        <v>135.83000000000001</v>
      </c>
      <c r="K26" t="s">
        <v>27</v>
      </c>
      <c r="L26" t="s">
        <v>23</v>
      </c>
      <c r="M26">
        <v>1</v>
      </c>
    </row>
    <row r="27" spans="1:13" x14ac:dyDescent="0.2">
      <c r="A27">
        <v>26</v>
      </c>
      <c r="B27" t="s">
        <v>74</v>
      </c>
      <c r="C27" s="2">
        <v>45652</v>
      </c>
      <c r="D27" t="s">
        <v>75</v>
      </c>
      <c r="E27" t="s">
        <v>76</v>
      </c>
      <c r="G27" t="s">
        <v>25</v>
      </c>
      <c r="H27">
        <v>5</v>
      </c>
      <c r="I27">
        <v>0.05</v>
      </c>
      <c r="J27">
        <v>213.51</v>
      </c>
      <c r="K27" t="s">
        <v>27</v>
      </c>
      <c r="L27" t="s">
        <v>30</v>
      </c>
      <c r="M27" t="s">
        <v>77</v>
      </c>
    </row>
    <row r="28" spans="1:13" x14ac:dyDescent="0.2">
      <c r="A28">
        <v>27</v>
      </c>
      <c r="B28" t="s">
        <v>71</v>
      </c>
      <c r="C28" s="1">
        <v>45243</v>
      </c>
      <c r="D28" t="s">
        <v>72</v>
      </c>
      <c r="E28" t="s">
        <v>33</v>
      </c>
      <c r="F28" t="s">
        <v>40</v>
      </c>
      <c r="G28" t="s">
        <v>17</v>
      </c>
      <c r="H28">
        <v>3</v>
      </c>
      <c r="I28">
        <v>0</v>
      </c>
      <c r="J28">
        <v>179.85</v>
      </c>
      <c r="K28" t="s">
        <v>80</v>
      </c>
      <c r="L28" t="s">
        <v>30</v>
      </c>
      <c r="M28" t="s">
        <v>73</v>
      </c>
    </row>
    <row r="29" spans="1:13" x14ac:dyDescent="0.2">
      <c r="A29">
        <v>28</v>
      </c>
      <c r="B29" t="s">
        <v>74</v>
      </c>
      <c r="C29" s="2">
        <v>45142</v>
      </c>
      <c r="D29" t="s">
        <v>75</v>
      </c>
      <c r="E29" t="s">
        <v>76</v>
      </c>
      <c r="F29" t="s">
        <v>53</v>
      </c>
      <c r="G29" t="s">
        <v>54</v>
      </c>
      <c r="H29">
        <v>5</v>
      </c>
      <c r="I29">
        <v>0</v>
      </c>
      <c r="J29">
        <v>224.75</v>
      </c>
      <c r="K29" t="s">
        <v>52</v>
      </c>
      <c r="L29" t="s">
        <v>30</v>
      </c>
      <c r="M29" t="s">
        <v>77</v>
      </c>
    </row>
    <row r="30" spans="1:13" x14ac:dyDescent="0.2">
      <c r="A30">
        <v>29</v>
      </c>
      <c r="B30" t="s">
        <v>42</v>
      </c>
      <c r="C30" s="2">
        <v>45615</v>
      </c>
      <c r="D30" t="s">
        <v>43</v>
      </c>
      <c r="E30" t="s">
        <v>15</v>
      </c>
      <c r="F30" t="s">
        <v>66</v>
      </c>
      <c r="G30" t="s">
        <v>67</v>
      </c>
      <c r="H30">
        <v>3</v>
      </c>
      <c r="I30">
        <v>0.15</v>
      </c>
      <c r="J30">
        <v>328.95</v>
      </c>
      <c r="K30" t="s">
        <v>18</v>
      </c>
      <c r="L30" t="s">
        <v>55</v>
      </c>
      <c r="M30" t="b">
        <v>1</v>
      </c>
    </row>
    <row r="31" spans="1:13" x14ac:dyDescent="0.2">
      <c r="A31">
        <v>30</v>
      </c>
      <c r="B31" t="s">
        <v>74</v>
      </c>
      <c r="C31" s="1">
        <v>45598</v>
      </c>
      <c r="D31" t="s">
        <v>75</v>
      </c>
      <c r="E31" t="s">
        <v>76</v>
      </c>
      <c r="G31" t="s">
        <v>25</v>
      </c>
      <c r="H31">
        <v>4</v>
      </c>
      <c r="I31">
        <v>0.2</v>
      </c>
      <c r="J31">
        <v>143.84</v>
      </c>
      <c r="K31" t="s">
        <v>18</v>
      </c>
      <c r="L31" t="s">
        <v>63</v>
      </c>
      <c r="M31" t="s">
        <v>77</v>
      </c>
    </row>
    <row r="32" spans="1:13" x14ac:dyDescent="0.2">
      <c r="A32">
        <v>31</v>
      </c>
      <c r="B32" t="s">
        <v>56</v>
      </c>
      <c r="C32" s="1">
        <v>45402</v>
      </c>
      <c r="D32" t="s">
        <v>57</v>
      </c>
      <c r="E32" t="s">
        <v>48</v>
      </c>
      <c r="F32" t="s">
        <v>26</v>
      </c>
      <c r="G32" t="s">
        <v>22</v>
      </c>
      <c r="H32">
        <v>2</v>
      </c>
      <c r="I32">
        <v>0</v>
      </c>
      <c r="J32">
        <v>170</v>
      </c>
      <c r="K32" t="s">
        <v>18</v>
      </c>
      <c r="L32" t="s">
        <v>41</v>
      </c>
      <c r="M32">
        <v>1</v>
      </c>
    </row>
    <row r="33" spans="1:13" x14ac:dyDescent="0.2">
      <c r="A33">
        <v>32</v>
      </c>
      <c r="B33" t="s">
        <v>31</v>
      </c>
      <c r="C33" s="2">
        <v>45579</v>
      </c>
      <c r="D33" t="s">
        <v>32</v>
      </c>
      <c r="E33" t="s">
        <v>33</v>
      </c>
      <c r="F33" t="s">
        <v>44</v>
      </c>
      <c r="H33">
        <v>4</v>
      </c>
      <c r="I33">
        <v>0.25</v>
      </c>
      <c r="J33">
        <v>239.85</v>
      </c>
      <c r="K33" t="s">
        <v>18</v>
      </c>
      <c r="L33" t="s">
        <v>30</v>
      </c>
      <c r="M33" t="b">
        <v>0</v>
      </c>
    </row>
    <row r="34" spans="1:13" x14ac:dyDescent="0.2">
      <c r="A34">
        <v>33</v>
      </c>
      <c r="B34" t="s">
        <v>61</v>
      </c>
      <c r="C34" s="1">
        <v>45083</v>
      </c>
      <c r="D34" t="s">
        <v>62</v>
      </c>
      <c r="E34" t="s">
        <v>33</v>
      </c>
      <c r="F34" t="s">
        <v>16</v>
      </c>
      <c r="G34" t="s">
        <v>17</v>
      </c>
      <c r="H34">
        <v>2</v>
      </c>
      <c r="I34">
        <v>0.05</v>
      </c>
      <c r="J34">
        <v>66.48</v>
      </c>
      <c r="K34" t="s">
        <v>36</v>
      </c>
      <c r="L34" t="s">
        <v>28</v>
      </c>
      <c r="M34">
        <v>0</v>
      </c>
    </row>
    <row r="35" spans="1:13" x14ac:dyDescent="0.2">
      <c r="A35">
        <v>34</v>
      </c>
      <c r="B35" t="s">
        <v>81</v>
      </c>
      <c r="C35" s="2">
        <v>45232</v>
      </c>
      <c r="D35" t="s">
        <v>82</v>
      </c>
      <c r="E35" t="s">
        <v>15</v>
      </c>
      <c r="F35" t="s">
        <v>26</v>
      </c>
      <c r="G35" t="s">
        <v>22</v>
      </c>
      <c r="H35">
        <v>4</v>
      </c>
      <c r="I35">
        <v>0.25</v>
      </c>
      <c r="J35">
        <v>239.85</v>
      </c>
      <c r="K35" t="s">
        <v>52</v>
      </c>
      <c r="L35" t="s">
        <v>23</v>
      </c>
      <c r="M35" t="s">
        <v>73</v>
      </c>
    </row>
    <row r="36" spans="1:13" x14ac:dyDescent="0.2">
      <c r="A36">
        <v>35</v>
      </c>
      <c r="B36" t="s">
        <v>83</v>
      </c>
      <c r="C36" s="2">
        <v>45622</v>
      </c>
      <c r="D36" t="s">
        <v>84</v>
      </c>
      <c r="E36" t="s">
        <v>48</v>
      </c>
      <c r="F36" t="s">
        <v>21</v>
      </c>
      <c r="G36" t="s">
        <v>22</v>
      </c>
      <c r="H36">
        <v>1</v>
      </c>
      <c r="I36">
        <v>0.2</v>
      </c>
      <c r="J36">
        <v>39.96</v>
      </c>
      <c r="K36" t="s">
        <v>36</v>
      </c>
      <c r="L36" t="s">
        <v>49</v>
      </c>
      <c r="M36">
        <v>0</v>
      </c>
    </row>
    <row r="37" spans="1:13" x14ac:dyDescent="0.2">
      <c r="A37">
        <v>36</v>
      </c>
      <c r="B37" t="s">
        <v>85</v>
      </c>
      <c r="C37" s="2">
        <v>45193</v>
      </c>
      <c r="D37" t="s">
        <v>86</v>
      </c>
      <c r="E37" t="s">
        <v>76</v>
      </c>
      <c r="F37" t="s">
        <v>16</v>
      </c>
      <c r="G37" t="s">
        <v>17</v>
      </c>
      <c r="H37">
        <v>2</v>
      </c>
      <c r="I37">
        <v>0.25</v>
      </c>
      <c r="J37">
        <v>134.93</v>
      </c>
      <c r="K37" t="s">
        <v>27</v>
      </c>
      <c r="L37" t="s">
        <v>45</v>
      </c>
      <c r="M37" t="s">
        <v>73</v>
      </c>
    </row>
    <row r="38" spans="1:13" x14ac:dyDescent="0.2">
      <c r="A38">
        <v>37</v>
      </c>
      <c r="B38" t="s">
        <v>13</v>
      </c>
      <c r="C38" s="2">
        <v>45592</v>
      </c>
      <c r="D38" t="s">
        <v>25</v>
      </c>
      <c r="E38" t="s">
        <v>25</v>
      </c>
      <c r="F38" t="s">
        <v>44</v>
      </c>
      <c r="H38">
        <v>5</v>
      </c>
      <c r="I38">
        <v>0</v>
      </c>
      <c r="J38">
        <v>99.95</v>
      </c>
      <c r="K38" t="s">
        <v>18</v>
      </c>
      <c r="L38" t="s">
        <v>49</v>
      </c>
      <c r="M38" t="s">
        <v>25</v>
      </c>
    </row>
    <row r="39" spans="1:13" x14ac:dyDescent="0.2">
      <c r="A39">
        <v>38</v>
      </c>
      <c r="B39" t="s">
        <v>81</v>
      </c>
      <c r="C39" s="1">
        <v>45098</v>
      </c>
      <c r="D39" t="s">
        <v>82</v>
      </c>
      <c r="E39" t="s">
        <v>15</v>
      </c>
      <c r="F39" t="s">
        <v>16</v>
      </c>
      <c r="G39" t="s">
        <v>17</v>
      </c>
      <c r="H39">
        <v>2</v>
      </c>
      <c r="I39">
        <v>0.25</v>
      </c>
      <c r="J39">
        <v>119.93</v>
      </c>
      <c r="K39" t="s">
        <v>52</v>
      </c>
      <c r="M39" t="s">
        <v>73</v>
      </c>
    </row>
    <row r="40" spans="1:13" x14ac:dyDescent="0.2">
      <c r="A40">
        <v>39</v>
      </c>
      <c r="B40" t="s">
        <v>74</v>
      </c>
      <c r="C40" s="2">
        <v>45640</v>
      </c>
      <c r="D40" t="s">
        <v>75</v>
      </c>
      <c r="E40" t="s">
        <v>76</v>
      </c>
      <c r="F40" t="s">
        <v>21</v>
      </c>
      <c r="G40" t="s">
        <v>22</v>
      </c>
      <c r="H40">
        <v>2</v>
      </c>
      <c r="I40">
        <v>0</v>
      </c>
      <c r="J40">
        <v>89.9</v>
      </c>
      <c r="K40" t="s">
        <v>27</v>
      </c>
      <c r="L40" t="s">
        <v>63</v>
      </c>
      <c r="M40" t="s">
        <v>77</v>
      </c>
    </row>
    <row r="41" spans="1:13" x14ac:dyDescent="0.2">
      <c r="A41">
        <v>40</v>
      </c>
      <c r="B41" t="s">
        <v>13</v>
      </c>
      <c r="C41" s="1">
        <v>45297</v>
      </c>
      <c r="D41" t="s">
        <v>14</v>
      </c>
      <c r="E41" t="s">
        <v>15</v>
      </c>
      <c r="F41" t="s">
        <v>40</v>
      </c>
      <c r="G41" t="s">
        <v>17</v>
      </c>
      <c r="H41">
        <v>4</v>
      </c>
      <c r="I41">
        <v>0.25</v>
      </c>
      <c r="J41">
        <v>59.97</v>
      </c>
      <c r="K41" t="s">
        <v>29</v>
      </c>
      <c r="L41" t="s">
        <v>55</v>
      </c>
      <c r="M41">
        <v>0</v>
      </c>
    </row>
    <row r="42" spans="1:13" x14ac:dyDescent="0.2">
      <c r="A42">
        <v>41</v>
      </c>
      <c r="B42" t="s">
        <v>24</v>
      </c>
      <c r="C42" s="2">
        <v>45015</v>
      </c>
      <c r="D42" t="s">
        <v>25</v>
      </c>
      <c r="E42" t="s">
        <v>25</v>
      </c>
      <c r="F42" t="s">
        <v>44</v>
      </c>
      <c r="H42">
        <v>4</v>
      </c>
      <c r="I42">
        <v>0.1</v>
      </c>
      <c r="J42">
        <v>161.82</v>
      </c>
      <c r="K42" t="s">
        <v>18</v>
      </c>
      <c r="L42" t="s">
        <v>49</v>
      </c>
      <c r="M42" t="s">
        <v>25</v>
      </c>
    </row>
    <row r="43" spans="1:13" x14ac:dyDescent="0.2">
      <c r="A43">
        <v>42</v>
      </c>
      <c r="B43" t="s">
        <v>68</v>
      </c>
      <c r="C43" s="2">
        <v>45645</v>
      </c>
      <c r="D43" t="s">
        <v>69</v>
      </c>
      <c r="E43" t="s">
        <v>33</v>
      </c>
      <c r="F43" t="s">
        <v>34</v>
      </c>
      <c r="G43" t="s">
        <v>35</v>
      </c>
      <c r="H43">
        <v>3</v>
      </c>
      <c r="I43">
        <v>0.15</v>
      </c>
      <c r="J43">
        <v>303.45</v>
      </c>
      <c r="K43" t="s">
        <v>80</v>
      </c>
      <c r="L43" t="s">
        <v>30</v>
      </c>
      <c r="M43" t="b">
        <v>0</v>
      </c>
    </row>
    <row r="44" spans="1:13" x14ac:dyDescent="0.2">
      <c r="A44">
        <v>43</v>
      </c>
      <c r="B44" t="s">
        <v>24</v>
      </c>
      <c r="C44" s="1">
        <v>45341</v>
      </c>
      <c r="D44" t="s">
        <v>87</v>
      </c>
      <c r="E44" t="s">
        <v>39</v>
      </c>
      <c r="F44" t="s">
        <v>44</v>
      </c>
      <c r="H44">
        <v>1</v>
      </c>
      <c r="I44">
        <v>0</v>
      </c>
      <c r="J44">
        <v>44.95</v>
      </c>
      <c r="K44" t="s">
        <v>18</v>
      </c>
      <c r="L44" t="s">
        <v>30</v>
      </c>
      <c r="M44" t="b">
        <v>1</v>
      </c>
    </row>
    <row r="45" spans="1:13" x14ac:dyDescent="0.2">
      <c r="A45">
        <v>44</v>
      </c>
      <c r="B45" t="s">
        <v>64</v>
      </c>
      <c r="C45" s="2">
        <v>45124</v>
      </c>
      <c r="D45" t="s">
        <v>65</v>
      </c>
      <c r="E45" t="s">
        <v>33</v>
      </c>
      <c r="F45" t="s">
        <v>44</v>
      </c>
      <c r="H45">
        <v>3</v>
      </c>
      <c r="I45">
        <v>0.1</v>
      </c>
      <c r="J45">
        <v>202.37</v>
      </c>
      <c r="K45" t="s">
        <v>27</v>
      </c>
      <c r="L45" t="s">
        <v>63</v>
      </c>
      <c r="M45">
        <v>0</v>
      </c>
    </row>
    <row r="46" spans="1:13" x14ac:dyDescent="0.2">
      <c r="A46">
        <v>45</v>
      </c>
      <c r="B46" t="s">
        <v>46</v>
      </c>
      <c r="C46" s="2">
        <v>45110</v>
      </c>
      <c r="D46" t="s">
        <v>47</v>
      </c>
      <c r="E46" t="s">
        <v>48</v>
      </c>
      <c r="G46" t="s">
        <v>25</v>
      </c>
      <c r="H46">
        <v>2</v>
      </c>
      <c r="I46">
        <v>0.1</v>
      </c>
      <c r="J46">
        <v>89.91</v>
      </c>
      <c r="K46" t="s">
        <v>52</v>
      </c>
      <c r="L46" t="s">
        <v>63</v>
      </c>
      <c r="M46">
        <v>0</v>
      </c>
    </row>
    <row r="47" spans="1:13" x14ac:dyDescent="0.2">
      <c r="A47">
        <v>46</v>
      </c>
      <c r="B47" t="s">
        <v>46</v>
      </c>
      <c r="C47" s="2">
        <v>45378</v>
      </c>
      <c r="D47" t="s">
        <v>47</v>
      </c>
      <c r="E47" t="s">
        <v>48</v>
      </c>
      <c r="F47" t="s">
        <v>44</v>
      </c>
      <c r="H47">
        <v>1</v>
      </c>
      <c r="I47">
        <v>0.1</v>
      </c>
      <c r="J47">
        <v>44.96</v>
      </c>
      <c r="K47" t="s">
        <v>29</v>
      </c>
      <c r="L47" t="s">
        <v>41</v>
      </c>
      <c r="M47">
        <v>0</v>
      </c>
    </row>
    <row r="48" spans="1:13" x14ac:dyDescent="0.2">
      <c r="A48">
        <v>47</v>
      </c>
      <c r="B48" t="s">
        <v>61</v>
      </c>
      <c r="C48" s="1">
        <v>45048</v>
      </c>
      <c r="D48" t="s">
        <v>62</v>
      </c>
      <c r="E48" t="s">
        <v>33</v>
      </c>
      <c r="F48" t="s">
        <v>26</v>
      </c>
      <c r="G48" t="s">
        <v>22</v>
      </c>
      <c r="H48">
        <v>2</v>
      </c>
      <c r="I48">
        <v>0.1</v>
      </c>
      <c r="J48">
        <v>62.98</v>
      </c>
      <c r="K48" t="s">
        <v>18</v>
      </c>
      <c r="L48" t="s">
        <v>55</v>
      </c>
      <c r="M48">
        <v>0</v>
      </c>
    </row>
    <row r="49" spans="1:13" x14ac:dyDescent="0.2">
      <c r="A49">
        <v>48</v>
      </c>
      <c r="B49" t="s">
        <v>50</v>
      </c>
      <c r="C49" s="2">
        <v>45567</v>
      </c>
      <c r="D49" t="s">
        <v>51</v>
      </c>
      <c r="E49" t="s">
        <v>15</v>
      </c>
      <c r="F49" t="s">
        <v>21</v>
      </c>
      <c r="G49" t="s">
        <v>22</v>
      </c>
      <c r="H49">
        <v>5</v>
      </c>
      <c r="I49">
        <v>0</v>
      </c>
      <c r="J49">
        <v>349.75</v>
      </c>
      <c r="K49" t="s">
        <v>18</v>
      </c>
      <c r="L49" t="s">
        <v>55</v>
      </c>
      <c r="M49">
        <v>0</v>
      </c>
    </row>
    <row r="50" spans="1:13" x14ac:dyDescent="0.2">
      <c r="A50">
        <v>49</v>
      </c>
      <c r="B50" t="s">
        <v>50</v>
      </c>
      <c r="C50" s="1">
        <v>45216</v>
      </c>
      <c r="D50" t="s">
        <v>51</v>
      </c>
      <c r="E50" t="s">
        <v>15</v>
      </c>
      <c r="F50" t="s">
        <v>44</v>
      </c>
      <c r="H50">
        <v>1</v>
      </c>
      <c r="I50">
        <v>0.05</v>
      </c>
      <c r="J50">
        <v>66.45</v>
      </c>
      <c r="K50" t="s">
        <v>36</v>
      </c>
      <c r="L50" t="s">
        <v>30</v>
      </c>
      <c r="M50">
        <v>0</v>
      </c>
    </row>
    <row r="51" spans="1:13" x14ac:dyDescent="0.2">
      <c r="A51">
        <v>50</v>
      </c>
      <c r="B51" t="s">
        <v>85</v>
      </c>
      <c r="C51" s="2">
        <v>45072</v>
      </c>
      <c r="D51" t="s">
        <v>86</v>
      </c>
      <c r="E51" t="s">
        <v>76</v>
      </c>
      <c r="F51" t="s">
        <v>34</v>
      </c>
      <c r="G51" t="s">
        <v>35</v>
      </c>
      <c r="H51">
        <v>1</v>
      </c>
      <c r="I51">
        <v>0.05</v>
      </c>
      <c r="J51">
        <v>85.45</v>
      </c>
      <c r="K51" t="s">
        <v>52</v>
      </c>
      <c r="L51" t="s">
        <v>45</v>
      </c>
      <c r="M51" t="s">
        <v>73</v>
      </c>
    </row>
    <row r="52" spans="1:13" x14ac:dyDescent="0.2">
      <c r="A52">
        <v>51</v>
      </c>
      <c r="B52" t="s">
        <v>64</v>
      </c>
      <c r="C52" s="2">
        <v>45539</v>
      </c>
      <c r="D52" t="s">
        <v>65</v>
      </c>
      <c r="E52" t="s">
        <v>33</v>
      </c>
      <c r="F52" t="s">
        <v>21</v>
      </c>
      <c r="G52" t="s">
        <v>22</v>
      </c>
      <c r="H52">
        <v>5</v>
      </c>
      <c r="J52">
        <v>374.75</v>
      </c>
      <c r="K52" t="s">
        <v>27</v>
      </c>
      <c r="L52" t="s">
        <v>41</v>
      </c>
      <c r="M52">
        <v>0</v>
      </c>
    </row>
    <row r="53" spans="1:13" x14ac:dyDescent="0.2">
      <c r="A53">
        <v>52</v>
      </c>
      <c r="B53" t="s">
        <v>81</v>
      </c>
      <c r="C53" s="2">
        <v>45594</v>
      </c>
      <c r="D53" t="s">
        <v>82</v>
      </c>
      <c r="E53" t="s">
        <v>15</v>
      </c>
      <c r="F53" t="s">
        <v>53</v>
      </c>
      <c r="G53" t="s">
        <v>54</v>
      </c>
      <c r="H53">
        <v>1</v>
      </c>
      <c r="I53">
        <v>0</v>
      </c>
      <c r="J53">
        <v>79.95</v>
      </c>
      <c r="K53" t="s">
        <v>80</v>
      </c>
      <c r="L53" t="s">
        <v>41</v>
      </c>
      <c r="M53" t="s">
        <v>73</v>
      </c>
    </row>
    <row r="54" spans="1:13" x14ac:dyDescent="0.2">
      <c r="A54">
        <v>53</v>
      </c>
      <c r="B54" t="s">
        <v>31</v>
      </c>
      <c r="C54" s="2">
        <v>45605</v>
      </c>
      <c r="D54" t="s">
        <v>32</v>
      </c>
      <c r="E54" t="s">
        <v>33</v>
      </c>
      <c r="F54" t="s">
        <v>16</v>
      </c>
      <c r="G54" t="s">
        <v>17</v>
      </c>
      <c r="H54">
        <v>3</v>
      </c>
      <c r="I54">
        <v>0.2</v>
      </c>
      <c r="J54">
        <v>191.88</v>
      </c>
      <c r="K54" t="s">
        <v>52</v>
      </c>
      <c r="L54" t="s">
        <v>41</v>
      </c>
      <c r="M54" t="b">
        <v>0</v>
      </c>
    </row>
    <row r="55" spans="1:13" x14ac:dyDescent="0.2">
      <c r="A55">
        <v>54</v>
      </c>
      <c r="B55" t="s">
        <v>56</v>
      </c>
      <c r="C55" s="2">
        <v>45457</v>
      </c>
      <c r="D55" t="s">
        <v>57</v>
      </c>
      <c r="E55" t="s">
        <v>48</v>
      </c>
      <c r="F55" t="s">
        <v>26</v>
      </c>
      <c r="G55" t="s">
        <v>22</v>
      </c>
      <c r="H55">
        <v>4</v>
      </c>
      <c r="I55" t="s">
        <v>70</v>
      </c>
      <c r="J55">
        <v>340</v>
      </c>
      <c r="K55" t="s">
        <v>18</v>
      </c>
      <c r="L55" t="s">
        <v>23</v>
      </c>
      <c r="M55">
        <v>1</v>
      </c>
    </row>
    <row r="56" spans="1:13" x14ac:dyDescent="0.2">
      <c r="A56">
        <v>55</v>
      </c>
      <c r="B56" t="s">
        <v>13</v>
      </c>
      <c r="C56" s="2">
        <v>45491</v>
      </c>
      <c r="D56" t="s">
        <v>14</v>
      </c>
      <c r="E56" t="s">
        <v>15</v>
      </c>
      <c r="F56" t="s">
        <v>16</v>
      </c>
      <c r="G56" t="s">
        <v>17</v>
      </c>
      <c r="H56">
        <v>5</v>
      </c>
      <c r="I56">
        <v>0.05</v>
      </c>
      <c r="J56">
        <v>94.95</v>
      </c>
      <c r="K56" t="s">
        <v>52</v>
      </c>
      <c r="L56" t="s">
        <v>45</v>
      </c>
      <c r="M56">
        <v>0</v>
      </c>
    </row>
    <row r="57" spans="1:13" x14ac:dyDescent="0.2">
      <c r="A57">
        <v>56</v>
      </c>
      <c r="B57" t="s">
        <v>50</v>
      </c>
      <c r="C57" s="2">
        <v>45410</v>
      </c>
      <c r="D57" t="s">
        <v>51</v>
      </c>
      <c r="E57" t="s">
        <v>15</v>
      </c>
      <c r="F57" t="s">
        <v>44</v>
      </c>
      <c r="H57">
        <v>5</v>
      </c>
      <c r="I57">
        <v>0.1</v>
      </c>
      <c r="J57">
        <v>314.77999999999997</v>
      </c>
      <c r="K57" t="s">
        <v>29</v>
      </c>
      <c r="L57" t="s">
        <v>28</v>
      </c>
      <c r="M57">
        <v>0</v>
      </c>
    </row>
    <row r="58" spans="1:13" x14ac:dyDescent="0.2">
      <c r="A58">
        <v>57</v>
      </c>
      <c r="B58" t="s">
        <v>88</v>
      </c>
      <c r="C58" s="1">
        <v>45232</v>
      </c>
      <c r="D58" t="s">
        <v>89</v>
      </c>
      <c r="E58" t="s">
        <v>33</v>
      </c>
      <c r="F58" t="s">
        <v>21</v>
      </c>
      <c r="G58" t="s">
        <v>22</v>
      </c>
      <c r="H58">
        <v>5</v>
      </c>
      <c r="I58">
        <v>0.1</v>
      </c>
      <c r="J58">
        <v>891</v>
      </c>
      <c r="K58" t="s">
        <v>52</v>
      </c>
      <c r="L58" t="s">
        <v>23</v>
      </c>
      <c r="M58" t="b">
        <v>0</v>
      </c>
    </row>
    <row r="59" spans="1:13" x14ac:dyDescent="0.2">
      <c r="A59">
        <v>58</v>
      </c>
      <c r="B59" t="s">
        <v>37</v>
      </c>
      <c r="C59" s="2">
        <v>44971</v>
      </c>
      <c r="D59" t="s">
        <v>38</v>
      </c>
      <c r="E59" t="s">
        <v>39</v>
      </c>
      <c r="F59" t="s">
        <v>40</v>
      </c>
      <c r="G59" t="s">
        <v>17</v>
      </c>
      <c r="H59">
        <v>2</v>
      </c>
      <c r="I59">
        <v>0.2</v>
      </c>
      <c r="J59">
        <v>103.92</v>
      </c>
      <c r="K59" t="s">
        <v>29</v>
      </c>
      <c r="L59" t="s">
        <v>63</v>
      </c>
      <c r="M59">
        <v>1</v>
      </c>
    </row>
    <row r="60" spans="1:13" x14ac:dyDescent="0.2">
      <c r="A60">
        <v>59</v>
      </c>
      <c r="B60" t="s">
        <v>61</v>
      </c>
      <c r="C60" s="1">
        <v>45029</v>
      </c>
      <c r="D60" t="s">
        <v>62</v>
      </c>
      <c r="E60" t="s">
        <v>33</v>
      </c>
      <c r="F60" t="s">
        <v>26</v>
      </c>
      <c r="G60" t="s">
        <v>22</v>
      </c>
      <c r="H60">
        <v>5</v>
      </c>
      <c r="I60">
        <v>0.15</v>
      </c>
      <c r="J60">
        <v>148.71</v>
      </c>
      <c r="K60" t="s">
        <v>29</v>
      </c>
      <c r="L60" t="s">
        <v>55</v>
      </c>
      <c r="M60">
        <v>0</v>
      </c>
    </row>
    <row r="61" spans="1:13" x14ac:dyDescent="0.2">
      <c r="A61">
        <v>60</v>
      </c>
      <c r="B61" t="s">
        <v>88</v>
      </c>
      <c r="C61" s="1">
        <v>45617</v>
      </c>
      <c r="D61" t="s">
        <v>25</v>
      </c>
      <c r="E61" t="s">
        <v>25</v>
      </c>
      <c r="F61" t="s">
        <v>53</v>
      </c>
      <c r="G61" t="s">
        <v>54</v>
      </c>
      <c r="H61">
        <v>5</v>
      </c>
      <c r="I61">
        <v>0.2</v>
      </c>
      <c r="J61">
        <v>792</v>
      </c>
      <c r="K61" t="s">
        <v>52</v>
      </c>
      <c r="M61" t="s">
        <v>25</v>
      </c>
    </row>
    <row r="62" spans="1:13" x14ac:dyDescent="0.2">
      <c r="A62">
        <v>61</v>
      </c>
      <c r="B62" t="s">
        <v>19</v>
      </c>
      <c r="C62" s="2">
        <v>45647</v>
      </c>
      <c r="D62" t="s">
        <v>20</v>
      </c>
      <c r="E62" t="s">
        <v>15</v>
      </c>
      <c r="F62" t="s">
        <v>53</v>
      </c>
      <c r="G62" t="s">
        <v>54</v>
      </c>
      <c r="H62">
        <v>1</v>
      </c>
      <c r="I62">
        <v>0</v>
      </c>
      <c r="J62">
        <v>89.95</v>
      </c>
      <c r="K62" t="s">
        <v>36</v>
      </c>
      <c r="L62" t="s">
        <v>55</v>
      </c>
      <c r="M62" t="b">
        <v>1</v>
      </c>
    </row>
    <row r="63" spans="1:13" x14ac:dyDescent="0.2">
      <c r="A63">
        <v>62</v>
      </c>
      <c r="B63" t="s">
        <v>31</v>
      </c>
      <c r="C63" s="2">
        <v>45626</v>
      </c>
      <c r="D63" t="s">
        <v>32</v>
      </c>
      <c r="E63" t="s">
        <v>33</v>
      </c>
      <c r="F63" t="s">
        <v>66</v>
      </c>
      <c r="G63" t="s">
        <v>67</v>
      </c>
      <c r="H63">
        <v>2</v>
      </c>
      <c r="I63">
        <v>0</v>
      </c>
      <c r="J63">
        <v>159.9</v>
      </c>
      <c r="K63" t="s">
        <v>80</v>
      </c>
      <c r="L63" t="s">
        <v>28</v>
      </c>
      <c r="M63" t="b">
        <v>0</v>
      </c>
    </row>
    <row r="64" spans="1:13" x14ac:dyDescent="0.2">
      <c r="A64">
        <v>63</v>
      </c>
      <c r="B64" t="s">
        <v>56</v>
      </c>
      <c r="C64" s="2">
        <v>45528</v>
      </c>
      <c r="D64" t="s">
        <v>57</v>
      </c>
      <c r="E64" t="s">
        <v>48</v>
      </c>
      <c r="F64" t="s">
        <v>53</v>
      </c>
      <c r="G64" t="s">
        <v>54</v>
      </c>
      <c r="H64">
        <v>2</v>
      </c>
      <c r="I64">
        <v>0</v>
      </c>
      <c r="J64">
        <v>170</v>
      </c>
      <c r="K64" t="s">
        <v>52</v>
      </c>
      <c r="L64" t="s">
        <v>41</v>
      </c>
      <c r="M64">
        <v>1</v>
      </c>
    </row>
    <row r="65" spans="1:13" x14ac:dyDescent="0.2">
      <c r="A65">
        <v>64</v>
      </c>
      <c r="B65" t="s">
        <v>81</v>
      </c>
      <c r="C65" s="2">
        <v>45332</v>
      </c>
      <c r="D65" t="s">
        <v>82</v>
      </c>
      <c r="E65" t="s">
        <v>15</v>
      </c>
      <c r="G65" t="s">
        <v>25</v>
      </c>
      <c r="H65">
        <v>3</v>
      </c>
      <c r="I65">
        <v>0.1</v>
      </c>
      <c r="J65">
        <v>215.87</v>
      </c>
      <c r="K65" t="s">
        <v>36</v>
      </c>
      <c r="L65" t="s">
        <v>23</v>
      </c>
      <c r="M65" t="s">
        <v>73</v>
      </c>
    </row>
    <row r="66" spans="1:13" x14ac:dyDescent="0.2">
      <c r="A66">
        <v>65</v>
      </c>
      <c r="B66" t="s">
        <v>71</v>
      </c>
      <c r="C66" s="1">
        <v>45183</v>
      </c>
      <c r="D66" t="s">
        <v>72</v>
      </c>
      <c r="E66" t="s">
        <v>33</v>
      </c>
      <c r="F66" t="s">
        <v>34</v>
      </c>
      <c r="G66" t="s">
        <v>35</v>
      </c>
      <c r="H66">
        <v>3</v>
      </c>
      <c r="I66">
        <v>0.05</v>
      </c>
      <c r="J66">
        <v>170.86</v>
      </c>
      <c r="K66" t="s">
        <v>80</v>
      </c>
      <c r="M66" t="s">
        <v>73</v>
      </c>
    </row>
    <row r="67" spans="1:13" x14ac:dyDescent="0.2">
      <c r="A67">
        <v>66</v>
      </c>
      <c r="B67" t="s">
        <v>81</v>
      </c>
      <c r="C67" s="1">
        <v>45261</v>
      </c>
      <c r="D67" t="s">
        <v>82</v>
      </c>
      <c r="E67" t="s">
        <v>15</v>
      </c>
      <c r="F67" t="s">
        <v>26</v>
      </c>
      <c r="G67" t="s">
        <v>22</v>
      </c>
      <c r="H67">
        <v>3</v>
      </c>
      <c r="I67">
        <v>0</v>
      </c>
      <c r="J67">
        <v>239.85</v>
      </c>
      <c r="K67" t="s">
        <v>52</v>
      </c>
      <c r="L67" t="s">
        <v>55</v>
      </c>
      <c r="M67" t="s">
        <v>73</v>
      </c>
    </row>
    <row r="68" spans="1:13" x14ac:dyDescent="0.2">
      <c r="A68">
        <v>67</v>
      </c>
      <c r="B68" t="s">
        <v>50</v>
      </c>
      <c r="C68" s="2">
        <v>45071</v>
      </c>
      <c r="D68" t="s">
        <v>51</v>
      </c>
      <c r="E68" t="s">
        <v>15</v>
      </c>
      <c r="F68" t="s">
        <v>44</v>
      </c>
      <c r="H68">
        <v>3</v>
      </c>
      <c r="I68">
        <v>0</v>
      </c>
      <c r="J68">
        <v>209.85</v>
      </c>
      <c r="K68" t="s">
        <v>27</v>
      </c>
      <c r="L68" t="s">
        <v>41</v>
      </c>
      <c r="M68">
        <v>0</v>
      </c>
    </row>
    <row r="69" spans="1:13" x14ac:dyDescent="0.2">
      <c r="A69">
        <v>68</v>
      </c>
      <c r="B69" t="s">
        <v>68</v>
      </c>
      <c r="C69" s="2">
        <v>45618</v>
      </c>
      <c r="D69" t="s">
        <v>69</v>
      </c>
      <c r="E69" t="s">
        <v>33</v>
      </c>
      <c r="F69" t="s">
        <v>44</v>
      </c>
      <c r="H69">
        <v>3</v>
      </c>
      <c r="I69">
        <v>0.2</v>
      </c>
      <c r="J69">
        <v>285.60000000000002</v>
      </c>
      <c r="K69" t="s">
        <v>27</v>
      </c>
      <c r="L69" t="s">
        <v>49</v>
      </c>
      <c r="M69" t="b">
        <v>0</v>
      </c>
    </row>
    <row r="70" spans="1:13" x14ac:dyDescent="0.2">
      <c r="A70">
        <v>69</v>
      </c>
      <c r="B70" t="s">
        <v>85</v>
      </c>
      <c r="C70" s="2">
        <v>45238</v>
      </c>
      <c r="D70" t="s">
        <v>86</v>
      </c>
      <c r="E70" t="s">
        <v>76</v>
      </c>
      <c r="F70" t="s">
        <v>53</v>
      </c>
      <c r="G70" t="s">
        <v>54</v>
      </c>
      <c r="H70">
        <v>1</v>
      </c>
      <c r="I70">
        <v>0</v>
      </c>
      <c r="J70">
        <v>89.95</v>
      </c>
      <c r="K70" t="s">
        <v>27</v>
      </c>
      <c r="L70" t="s">
        <v>23</v>
      </c>
      <c r="M70" t="s">
        <v>73</v>
      </c>
    </row>
    <row r="71" spans="1:13" x14ac:dyDescent="0.2">
      <c r="A71">
        <v>70</v>
      </c>
      <c r="B71" t="s">
        <v>85</v>
      </c>
      <c r="C71" s="1">
        <v>44960</v>
      </c>
      <c r="D71" t="s">
        <v>86</v>
      </c>
      <c r="E71" t="s">
        <v>76</v>
      </c>
      <c r="F71" t="s">
        <v>66</v>
      </c>
      <c r="G71" t="s">
        <v>67</v>
      </c>
      <c r="H71">
        <v>1</v>
      </c>
      <c r="I71">
        <v>0.25</v>
      </c>
      <c r="J71">
        <v>67.459999999999994</v>
      </c>
      <c r="K71" t="s">
        <v>52</v>
      </c>
      <c r="L71" t="s">
        <v>28</v>
      </c>
      <c r="M71" t="s">
        <v>73</v>
      </c>
    </row>
    <row r="72" spans="1:13" x14ac:dyDescent="0.2">
      <c r="A72">
        <v>71</v>
      </c>
      <c r="B72" t="s">
        <v>58</v>
      </c>
      <c r="C72" s="2">
        <v>45392</v>
      </c>
      <c r="D72" t="s">
        <v>59</v>
      </c>
      <c r="E72" t="s">
        <v>15</v>
      </c>
      <c r="F72" t="s">
        <v>40</v>
      </c>
      <c r="G72" t="s">
        <v>17</v>
      </c>
      <c r="H72">
        <v>4</v>
      </c>
      <c r="I72" t="s">
        <v>70</v>
      </c>
      <c r="J72">
        <v>239.8</v>
      </c>
      <c r="K72" t="s">
        <v>27</v>
      </c>
      <c r="L72" t="s">
        <v>63</v>
      </c>
      <c r="M72">
        <v>1</v>
      </c>
    </row>
    <row r="73" spans="1:13" x14ac:dyDescent="0.2">
      <c r="A73">
        <v>72</v>
      </c>
      <c r="B73" t="s">
        <v>81</v>
      </c>
      <c r="C73" s="2">
        <v>45537</v>
      </c>
      <c r="D73" t="s">
        <v>82</v>
      </c>
      <c r="E73" t="s">
        <v>15</v>
      </c>
      <c r="F73" t="s">
        <v>34</v>
      </c>
      <c r="G73" t="s">
        <v>35</v>
      </c>
      <c r="H73">
        <v>2</v>
      </c>
      <c r="I73">
        <v>0.05</v>
      </c>
      <c r="J73">
        <v>151.9</v>
      </c>
      <c r="K73" t="s">
        <v>18</v>
      </c>
      <c r="L73" t="s">
        <v>49</v>
      </c>
      <c r="M73" t="s">
        <v>73</v>
      </c>
    </row>
    <row r="74" spans="1:13" x14ac:dyDescent="0.2">
      <c r="A74">
        <v>73</v>
      </c>
      <c r="B74" t="s">
        <v>19</v>
      </c>
      <c r="C74" s="2">
        <v>45198</v>
      </c>
      <c r="D74" t="s">
        <v>20</v>
      </c>
      <c r="E74" t="s">
        <v>15</v>
      </c>
      <c r="F74" t="s">
        <v>40</v>
      </c>
      <c r="G74" t="s">
        <v>17</v>
      </c>
      <c r="H74">
        <v>5</v>
      </c>
      <c r="I74">
        <v>0.15</v>
      </c>
      <c r="J74">
        <v>382.29</v>
      </c>
      <c r="K74" t="s">
        <v>18</v>
      </c>
      <c r="L74" t="s">
        <v>23</v>
      </c>
      <c r="M74" t="b">
        <v>1</v>
      </c>
    </row>
    <row r="75" spans="1:13" x14ac:dyDescent="0.2">
      <c r="A75">
        <v>74</v>
      </c>
      <c r="B75" t="s">
        <v>71</v>
      </c>
      <c r="C75" s="2">
        <v>44958</v>
      </c>
      <c r="D75" t="s">
        <v>72</v>
      </c>
      <c r="E75" t="s">
        <v>33</v>
      </c>
      <c r="F75" t="s">
        <v>34</v>
      </c>
      <c r="G75" t="s">
        <v>35</v>
      </c>
      <c r="H75">
        <v>1</v>
      </c>
      <c r="I75">
        <v>0.1</v>
      </c>
      <c r="J75">
        <v>53.96</v>
      </c>
      <c r="K75" t="s">
        <v>36</v>
      </c>
      <c r="L75" t="s">
        <v>41</v>
      </c>
      <c r="M75" t="s">
        <v>73</v>
      </c>
    </row>
    <row r="76" spans="1:13" x14ac:dyDescent="0.2">
      <c r="A76">
        <v>75</v>
      </c>
      <c r="B76" t="s">
        <v>42</v>
      </c>
      <c r="C76" s="1">
        <v>45538</v>
      </c>
      <c r="D76" t="s">
        <v>43</v>
      </c>
      <c r="E76" t="s">
        <v>15</v>
      </c>
      <c r="F76" t="s">
        <v>66</v>
      </c>
      <c r="G76" t="s">
        <v>67</v>
      </c>
      <c r="H76">
        <v>2</v>
      </c>
      <c r="I76">
        <v>0.1</v>
      </c>
      <c r="J76">
        <v>232.2</v>
      </c>
      <c r="K76" t="s">
        <v>29</v>
      </c>
      <c r="L76" t="s">
        <v>49</v>
      </c>
      <c r="M76" t="b">
        <v>1</v>
      </c>
    </row>
    <row r="77" spans="1:13" x14ac:dyDescent="0.2">
      <c r="A77">
        <v>76</v>
      </c>
      <c r="B77" t="s">
        <v>85</v>
      </c>
      <c r="C77" s="2">
        <v>45391</v>
      </c>
      <c r="D77" t="s">
        <v>86</v>
      </c>
      <c r="E77" t="s">
        <v>76</v>
      </c>
      <c r="F77" t="s">
        <v>34</v>
      </c>
      <c r="G77" t="s">
        <v>35</v>
      </c>
      <c r="H77">
        <v>4</v>
      </c>
      <c r="I77">
        <v>0.05</v>
      </c>
      <c r="J77">
        <v>341.81</v>
      </c>
      <c r="K77" t="s">
        <v>52</v>
      </c>
      <c r="L77" t="s">
        <v>28</v>
      </c>
      <c r="M77" t="s">
        <v>73</v>
      </c>
    </row>
    <row r="78" spans="1:13" x14ac:dyDescent="0.2">
      <c r="A78">
        <v>77</v>
      </c>
      <c r="B78" t="s">
        <v>42</v>
      </c>
      <c r="C78" s="2">
        <v>45308</v>
      </c>
      <c r="D78" t="s">
        <v>43</v>
      </c>
      <c r="E78" t="s">
        <v>15</v>
      </c>
      <c r="F78" t="s">
        <v>16</v>
      </c>
      <c r="G78" t="s">
        <v>17</v>
      </c>
      <c r="H78">
        <v>1</v>
      </c>
      <c r="I78">
        <v>0</v>
      </c>
      <c r="J78">
        <v>129</v>
      </c>
      <c r="K78" t="s">
        <v>27</v>
      </c>
      <c r="L78" t="s">
        <v>28</v>
      </c>
      <c r="M78" t="b">
        <v>1</v>
      </c>
    </row>
    <row r="79" spans="1:13" x14ac:dyDescent="0.2">
      <c r="A79">
        <v>78</v>
      </c>
      <c r="B79" t="s">
        <v>50</v>
      </c>
      <c r="C79" s="1">
        <v>45518</v>
      </c>
      <c r="D79" t="s">
        <v>51</v>
      </c>
      <c r="E79" t="s">
        <v>15</v>
      </c>
      <c r="F79" t="s">
        <v>26</v>
      </c>
      <c r="G79" t="s">
        <v>22</v>
      </c>
      <c r="H79">
        <v>5</v>
      </c>
      <c r="I79">
        <v>0.1</v>
      </c>
      <c r="J79">
        <v>314.77999999999997</v>
      </c>
      <c r="K79" t="s">
        <v>27</v>
      </c>
      <c r="L79" t="s">
        <v>49</v>
      </c>
      <c r="M79">
        <v>0</v>
      </c>
    </row>
    <row r="80" spans="1:13" x14ac:dyDescent="0.2">
      <c r="A80">
        <v>79</v>
      </c>
      <c r="B80" t="s">
        <v>56</v>
      </c>
      <c r="C80" s="2">
        <v>45111</v>
      </c>
      <c r="D80" t="s">
        <v>57</v>
      </c>
      <c r="E80" t="s">
        <v>48</v>
      </c>
      <c r="F80" t="s">
        <v>21</v>
      </c>
      <c r="G80" t="s">
        <v>22</v>
      </c>
      <c r="H80">
        <v>5</v>
      </c>
      <c r="J80">
        <v>425</v>
      </c>
      <c r="K80" t="s">
        <v>27</v>
      </c>
      <c r="L80" t="s">
        <v>30</v>
      </c>
      <c r="M80">
        <v>1</v>
      </c>
    </row>
    <row r="81" spans="1:13" x14ac:dyDescent="0.2">
      <c r="A81">
        <v>80</v>
      </c>
      <c r="B81" t="s">
        <v>42</v>
      </c>
      <c r="C81" s="2">
        <v>45391</v>
      </c>
      <c r="D81" t="s">
        <v>43</v>
      </c>
      <c r="E81" t="s">
        <v>15</v>
      </c>
      <c r="F81" t="s">
        <v>26</v>
      </c>
      <c r="G81" t="s">
        <v>22</v>
      </c>
      <c r="H81">
        <v>5</v>
      </c>
      <c r="I81">
        <v>0.05</v>
      </c>
      <c r="J81">
        <v>612.75</v>
      </c>
      <c r="K81" t="s">
        <v>29</v>
      </c>
      <c r="L81" t="s">
        <v>28</v>
      </c>
      <c r="M81" t="b">
        <v>1</v>
      </c>
    </row>
    <row r="82" spans="1:13" x14ac:dyDescent="0.2">
      <c r="A82">
        <v>81</v>
      </c>
      <c r="B82" t="s">
        <v>42</v>
      </c>
      <c r="C82" s="2">
        <v>45548</v>
      </c>
      <c r="D82" t="s">
        <v>43</v>
      </c>
      <c r="E82" t="s">
        <v>15</v>
      </c>
      <c r="F82" t="s">
        <v>26</v>
      </c>
      <c r="G82" t="s">
        <v>22</v>
      </c>
      <c r="H82">
        <v>3</v>
      </c>
      <c r="I82">
        <v>0.25</v>
      </c>
      <c r="J82">
        <v>290.25</v>
      </c>
      <c r="K82" t="s">
        <v>29</v>
      </c>
      <c r="L82" t="s">
        <v>28</v>
      </c>
      <c r="M82" t="b">
        <v>1</v>
      </c>
    </row>
    <row r="83" spans="1:13" x14ac:dyDescent="0.2">
      <c r="A83">
        <v>82</v>
      </c>
      <c r="B83" t="s">
        <v>58</v>
      </c>
      <c r="C83" s="2">
        <v>45136</v>
      </c>
      <c r="D83" t="s">
        <v>59</v>
      </c>
      <c r="E83" t="s">
        <v>15</v>
      </c>
      <c r="F83" t="s">
        <v>53</v>
      </c>
      <c r="G83" t="s">
        <v>54</v>
      </c>
      <c r="H83">
        <v>2</v>
      </c>
      <c r="I83">
        <v>0.2</v>
      </c>
      <c r="J83">
        <v>95.92</v>
      </c>
      <c r="K83" t="s">
        <v>27</v>
      </c>
      <c r="L83" t="s">
        <v>23</v>
      </c>
      <c r="M83">
        <v>1</v>
      </c>
    </row>
    <row r="84" spans="1:13" x14ac:dyDescent="0.2">
      <c r="A84">
        <v>83</v>
      </c>
      <c r="B84" t="s">
        <v>78</v>
      </c>
      <c r="C84" s="2">
        <v>44970</v>
      </c>
      <c r="D84" t="s">
        <v>79</v>
      </c>
      <c r="E84" t="s">
        <v>48</v>
      </c>
      <c r="G84" t="s">
        <v>25</v>
      </c>
      <c r="H84">
        <v>5</v>
      </c>
      <c r="I84">
        <v>0.15</v>
      </c>
      <c r="J84">
        <v>169.79</v>
      </c>
      <c r="K84" t="s">
        <v>29</v>
      </c>
      <c r="L84" t="s">
        <v>55</v>
      </c>
      <c r="M84">
        <v>1</v>
      </c>
    </row>
    <row r="85" spans="1:13" x14ac:dyDescent="0.2">
      <c r="A85">
        <v>84</v>
      </c>
      <c r="B85" t="s">
        <v>88</v>
      </c>
      <c r="C85" s="2">
        <v>45374</v>
      </c>
      <c r="D85" t="s">
        <v>89</v>
      </c>
      <c r="E85" t="s">
        <v>33</v>
      </c>
      <c r="F85" t="s">
        <v>26</v>
      </c>
      <c r="G85" t="s">
        <v>22</v>
      </c>
      <c r="H85">
        <v>2</v>
      </c>
      <c r="I85">
        <v>0.25</v>
      </c>
      <c r="J85">
        <v>297</v>
      </c>
      <c r="K85" t="s">
        <v>27</v>
      </c>
      <c r="L85" t="s">
        <v>49</v>
      </c>
      <c r="M85" t="b">
        <v>0</v>
      </c>
    </row>
    <row r="86" spans="1:13" x14ac:dyDescent="0.2">
      <c r="A86">
        <v>85</v>
      </c>
      <c r="B86" t="s">
        <v>78</v>
      </c>
      <c r="C86" s="2">
        <v>45587</v>
      </c>
      <c r="D86" t="s">
        <v>79</v>
      </c>
      <c r="E86" t="s">
        <v>48</v>
      </c>
      <c r="F86" t="s">
        <v>16</v>
      </c>
      <c r="G86" t="s">
        <v>17</v>
      </c>
      <c r="H86">
        <v>5</v>
      </c>
      <c r="I86">
        <v>0.05</v>
      </c>
      <c r="J86">
        <v>189.76</v>
      </c>
      <c r="K86" t="s">
        <v>52</v>
      </c>
      <c r="L86" t="s">
        <v>49</v>
      </c>
      <c r="M86">
        <v>1</v>
      </c>
    </row>
    <row r="87" spans="1:13" x14ac:dyDescent="0.2">
      <c r="A87">
        <v>86</v>
      </c>
      <c r="B87" t="s">
        <v>24</v>
      </c>
      <c r="C87" s="2">
        <v>45250</v>
      </c>
      <c r="D87" t="s">
        <v>87</v>
      </c>
      <c r="E87" t="s">
        <v>39</v>
      </c>
      <c r="F87" t="s">
        <v>44</v>
      </c>
      <c r="H87">
        <v>5</v>
      </c>
      <c r="I87">
        <v>0.25</v>
      </c>
      <c r="J87">
        <v>168.56</v>
      </c>
      <c r="K87" t="s">
        <v>36</v>
      </c>
      <c r="L87" t="s">
        <v>49</v>
      </c>
      <c r="M87" t="b">
        <v>1</v>
      </c>
    </row>
    <row r="88" spans="1:13" x14ac:dyDescent="0.2">
      <c r="A88">
        <v>87</v>
      </c>
      <c r="B88" t="s">
        <v>58</v>
      </c>
      <c r="C88" s="1">
        <v>45019</v>
      </c>
      <c r="D88" t="s">
        <v>25</v>
      </c>
      <c r="E88" t="s">
        <v>25</v>
      </c>
      <c r="F88" t="s">
        <v>26</v>
      </c>
      <c r="G88" t="s">
        <v>22</v>
      </c>
      <c r="H88">
        <v>3</v>
      </c>
      <c r="I88">
        <v>0.1</v>
      </c>
      <c r="J88">
        <v>161.87</v>
      </c>
      <c r="K88" t="s">
        <v>36</v>
      </c>
      <c r="L88" t="s">
        <v>55</v>
      </c>
      <c r="M88" t="s">
        <v>25</v>
      </c>
    </row>
    <row r="89" spans="1:13" x14ac:dyDescent="0.2">
      <c r="A89">
        <v>88</v>
      </c>
      <c r="B89" t="s">
        <v>88</v>
      </c>
      <c r="C89" s="2">
        <v>45388</v>
      </c>
      <c r="D89" t="s">
        <v>25</v>
      </c>
      <c r="E89" t="s">
        <v>25</v>
      </c>
      <c r="F89" t="s">
        <v>34</v>
      </c>
      <c r="G89" t="s">
        <v>35</v>
      </c>
      <c r="H89">
        <v>5</v>
      </c>
      <c r="I89">
        <v>0.25</v>
      </c>
      <c r="J89">
        <v>742.5</v>
      </c>
      <c r="K89" t="s">
        <v>27</v>
      </c>
      <c r="L89" t="s">
        <v>45</v>
      </c>
      <c r="M89" t="s">
        <v>25</v>
      </c>
    </row>
    <row r="90" spans="1:13" x14ac:dyDescent="0.2">
      <c r="A90">
        <v>89</v>
      </c>
      <c r="B90" t="s">
        <v>68</v>
      </c>
      <c r="C90" s="1">
        <v>45273</v>
      </c>
      <c r="D90" t="s">
        <v>69</v>
      </c>
      <c r="E90" t="s">
        <v>33</v>
      </c>
      <c r="F90" t="s">
        <v>66</v>
      </c>
      <c r="G90" t="s">
        <v>67</v>
      </c>
      <c r="H90">
        <v>3</v>
      </c>
      <c r="I90">
        <v>0.1</v>
      </c>
      <c r="J90">
        <v>321.3</v>
      </c>
      <c r="K90" t="s">
        <v>29</v>
      </c>
      <c r="L90" t="s">
        <v>28</v>
      </c>
      <c r="M90" t="b">
        <v>0</v>
      </c>
    </row>
    <row r="91" spans="1:13" x14ac:dyDescent="0.2">
      <c r="A91">
        <v>90</v>
      </c>
      <c r="B91" t="s">
        <v>88</v>
      </c>
      <c r="C91" s="1">
        <v>45598</v>
      </c>
      <c r="D91" t="s">
        <v>89</v>
      </c>
      <c r="E91" t="s">
        <v>33</v>
      </c>
      <c r="F91" t="s">
        <v>66</v>
      </c>
      <c r="G91" t="s">
        <v>67</v>
      </c>
      <c r="H91">
        <v>1</v>
      </c>
      <c r="I91">
        <v>0</v>
      </c>
      <c r="J91">
        <v>198</v>
      </c>
      <c r="K91" t="s">
        <v>52</v>
      </c>
      <c r="L91" t="s">
        <v>49</v>
      </c>
      <c r="M91" t="b">
        <v>0</v>
      </c>
    </row>
    <row r="92" spans="1:13" x14ac:dyDescent="0.2">
      <c r="A92">
        <v>91</v>
      </c>
      <c r="B92" t="s">
        <v>78</v>
      </c>
      <c r="C92" s="2">
        <v>45298</v>
      </c>
      <c r="D92" t="s">
        <v>79</v>
      </c>
      <c r="E92" t="s">
        <v>48</v>
      </c>
      <c r="F92" t="s">
        <v>66</v>
      </c>
      <c r="G92" t="s">
        <v>67</v>
      </c>
      <c r="H92">
        <v>1</v>
      </c>
      <c r="I92">
        <v>0.2</v>
      </c>
      <c r="J92">
        <v>31.96</v>
      </c>
      <c r="K92" t="s">
        <v>27</v>
      </c>
      <c r="L92" t="s">
        <v>49</v>
      </c>
      <c r="M92">
        <v>1</v>
      </c>
    </row>
    <row r="93" spans="1:13" x14ac:dyDescent="0.2">
      <c r="A93">
        <v>92</v>
      </c>
      <c r="B93" t="s">
        <v>78</v>
      </c>
      <c r="C93" s="1">
        <v>45061</v>
      </c>
      <c r="D93" t="s">
        <v>79</v>
      </c>
      <c r="E93" t="s">
        <v>48</v>
      </c>
      <c r="F93" t="s">
        <v>16</v>
      </c>
      <c r="G93" t="s">
        <v>17</v>
      </c>
      <c r="H93">
        <v>5</v>
      </c>
      <c r="I93">
        <v>0</v>
      </c>
      <c r="J93">
        <v>199.75</v>
      </c>
      <c r="K93" t="s">
        <v>80</v>
      </c>
      <c r="L93" t="s">
        <v>49</v>
      </c>
      <c r="M93">
        <v>1</v>
      </c>
    </row>
    <row r="94" spans="1:13" x14ac:dyDescent="0.2">
      <c r="A94">
        <v>93</v>
      </c>
      <c r="B94" t="s">
        <v>24</v>
      </c>
      <c r="C94" s="2">
        <v>45473</v>
      </c>
      <c r="D94" t="s">
        <v>87</v>
      </c>
      <c r="E94" t="s">
        <v>39</v>
      </c>
      <c r="F94" t="s">
        <v>34</v>
      </c>
      <c r="G94" t="s">
        <v>35</v>
      </c>
      <c r="H94">
        <v>5</v>
      </c>
      <c r="I94">
        <v>0.1</v>
      </c>
      <c r="J94">
        <v>202.28</v>
      </c>
      <c r="K94" t="s">
        <v>18</v>
      </c>
      <c r="L94" t="s">
        <v>41</v>
      </c>
      <c r="M94" t="b">
        <v>1</v>
      </c>
    </row>
    <row r="95" spans="1:13" x14ac:dyDescent="0.2">
      <c r="A95">
        <v>94</v>
      </c>
      <c r="B95" t="s">
        <v>74</v>
      </c>
      <c r="C95" s="2">
        <v>45546</v>
      </c>
      <c r="D95" t="s">
        <v>75</v>
      </c>
      <c r="E95" t="s">
        <v>76</v>
      </c>
      <c r="F95" t="s">
        <v>53</v>
      </c>
      <c r="G95" t="s">
        <v>54</v>
      </c>
      <c r="H95">
        <v>5</v>
      </c>
      <c r="I95">
        <v>0.2</v>
      </c>
      <c r="J95">
        <v>179.8</v>
      </c>
      <c r="K95" t="s">
        <v>18</v>
      </c>
      <c r="L95" t="s">
        <v>45</v>
      </c>
      <c r="M95" t="s">
        <v>77</v>
      </c>
    </row>
    <row r="96" spans="1:13" x14ac:dyDescent="0.2">
      <c r="A96">
        <v>95</v>
      </c>
      <c r="B96" t="s">
        <v>50</v>
      </c>
      <c r="C96" s="2">
        <v>45452</v>
      </c>
      <c r="D96" t="s">
        <v>51</v>
      </c>
      <c r="E96" t="s">
        <v>15</v>
      </c>
      <c r="F96" t="s">
        <v>16</v>
      </c>
      <c r="G96" t="s">
        <v>17</v>
      </c>
      <c r="H96">
        <v>1</v>
      </c>
      <c r="I96">
        <v>0</v>
      </c>
      <c r="J96">
        <v>69.95</v>
      </c>
      <c r="K96" t="s">
        <v>29</v>
      </c>
      <c r="L96" t="s">
        <v>30</v>
      </c>
      <c r="M96">
        <v>0</v>
      </c>
    </row>
    <row r="97" spans="1:13" x14ac:dyDescent="0.2">
      <c r="A97">
        <v>96</v>
      </c>
      <c r="B97" t="s">
        <v>78</v>
      </c>
      <c r="C97" s="2">
        <v>45310</v>
      </c>
      <c r="D97" t="s">
        <v>79</v>
      </c>
      <c r="E97" t="s">
        <v>48</v>
      </c>
      <c r="G97" t="s">
        <v>25</v>
      </c>
      <c r="H97">
        <v>3</v>
      </c>
      <c r="I97">
        <v>0.05</v>
      </c>
      <c r="J97">
        <v>113.86</v>
      </c>
      <c r="K97" t="s">
        <v>27</v>
      </c>
      <c r="L97" t="s">
        <v>28</v>
      </c>
      <c r="M97">
        <v>1</v>
      </c>
    </row>
    <row r="98" spans="1:13" x14ac:dyDescent="0.2">
      <c r="A98">
        <v>97</v>
      </c>
      <c r="B98" t="s">
        <v>83</v>
      </c>
      <c r="C98" s="2">
        <v>45189</v>
      </c>
      <c r="D98" t="s">
        <v>84</v>
      </c>
      <c r="E98" t="s">
        <v>48</v>
      </c>
      <c r="F98" t="s">
        <v>66</v>
      </c>
      <c r="G98" t="s">
        <v>67</v>
      </c>
      <c r="H98">
        <v>4</v>
      </c>
      <c r="I98">
        <v>0</v>
      </c>
      <c r="J98">
        <v>199.8</v>
      </c>
      <c r="K98" t="s">
        <v>27</v>
      </c>
      <c r="L98" t="s">
        <v>55</v>
      </c>
      <c r="M98">
        <v>0</v>
      </c>
    </row>
    <row r="99" spans="1:13" x14ac:dyDescent="0.2">
      <c r="A99">
        <v>98</v>
      </c>
      <c r="B99" t="s">
        <v>71</v>
      </c>
      <c r="C99" s="1">
        <v>45538</v>
      </c>
      <c r="D99" t="s">
        <v>72</v>
      </c>
      <c r="E99" t="s">
        <v>33</v>
      </c>
      <c r="G99" t="s">
        <v>25</v>
      </c>
      <c r="H99">
        <v>4</v>
      </c>
      <c r="I99">
        <v>0</v>
      </c>
      <c r="J99">
        <v>239.8</v>
      </c>
      <c r="K99" t="s">
        <v>29</v>
      </c>
      <c r="L99" t="s">
        <v>55</v>
      </c>
      <c r="M99" t="s">
        <v>73</v>
      </c>
    </row>
    <row r="100" spans="1:13" x14ac:dyDescent="0.2">
      <c r="A100">
        <v>99</v>
      </c>
      <c r="B100" t="s">
        <v>78</v>
      </c>
      <c r="C100" s="2">
        <v>45408</v>
      </c>
      <c r="D100" t="s">
        <v>79</v>
      </c>
      <c r="E100" t="s">
        <v>48</v>
      </c>
      <c r="F100" t="s">
        <v>16</v>
      </c>
      <c r="G100" t="s">
        <v>17</v>
      </c>
      <c r="H100">
        <v>3</v>
      </c>
      <c r="I100">
        <v>0</v>
      </c>
      <c r="J100">
        <v>119.85</v>
      </c>
      <c r="K100" t="s">
        <v>29</v>
      </c>
      <c r="L100" t="s">
        <v>23</v>
      </c>
      <c r="M100">
        <v>1</v>
      </c>
    </row>
    <row r="101" spans="1:13" x14ac:dyDescent="0.2">
      <c r="A101">
        <v>100</v>
      </c>
      <c r="B101" t="s">
        <v>61</v>
      </c>
      <c r="C101" s="1">
        <v>45106</v>
      </c>
      <c r="D101" t="s">
        <v>62</v>
      </c>
      <c r="E101" t="s">
        <v>33</v>
      </c>
      <c r="F101" t="s">
        <v>40</v>
      </c>
      <c r="G101" t="s">
        <v>17</v>
      </c>
      <c r="H101">
        <v>1</v>
      </c>
      <c r="I101">
        <v>0.15</v>
      </c>
      <c r="J101">
        <v>29.74</v>
      </c>
      <c r="K101" t="s">
        <v>36</v>
      </c>
      <c r="L101" t="s">
        <v>49</v>
      </c>
      <c r="M101">
        <v>0</v>
      </c>
    </row>
    <row r="102" spans="1:13" x14ac:dyDescent="0.2">
      <c r="A102">
        <v>101</v>
      </c>
      <c r="B102" t="s">
        <v>37</v>
      </c>
      <c r="C102" s="1">
        <v>45334</v>
      </c>
      <c r="D102" t="s">
        <v>38</v>
      </c>
      <c r="E102" t="s">
        <v>39</v>
      </c>
      <c r="F102" t="s">
        <v>26</v>
      </c>
      <c r="G102" t="s">
        <v>22</v>
      </c>
      <c r="H102">
        <v>1</v>
      </c>
      <c r="I102">
        <v>0.15</v>
      </c>
      <c r="J102">
        <v>55.21</v>
      </c>
      <c r="K102" t="s">
        <v>80</v>
      </c>
      <c r="M102">
        <v>1</v>
      </c>
    </row>
    <row r="103" spans="1:13" x14ac:dyDescent="0.2">
      <c r="A103">
        <v>102</v>
      </c>
      <c r="B103" t="s">
        <v>46</v>
      </c>
      <c r="C103" s="2">
        <v>45377</v>
      </c>
      <c r="D103" t="s">
        <v>47</v>
      </c>
      <c r="E103" t="s">
        <v>48</v>
      </c>
      <c r="F103" t="s">
        <v>53</v>
      </c>
      <c r="G103" t="s">
        <v>54</v>
      </c>
      <c r="H103">
        <v>3</v>
      </c>
      <c r="I103">
        <v>0.2</v>
      </c>
      <c r="J103">
        <v>119.88</v>
      </c>
      <c r="K103" t="s">
        <v>36</v>
      </c>
      <c r="L103" t="s">
        <v>28</v>
      </c>
      <c r="M103">
        <v>0</v>
      </c>
    </row>
    <row r="104" spans="1:13" x14ac:dyDescent="0.2">
      <c r="A104">
        <v>103</v>
      </c>
      <c r="B104" t="s">
        <v>71</v>
      </c>
      <c r="C104" s="2">
        <v>45008</v>
      </c>
      <c r="D104" t="s">
        <v>72</v>
      </c>
      <c r="E104" t="s">
        <v>33</v>
      </c>
      <c r="F104" t="s">
        <v>21</v>
      </c>
      <c r="G104" t="s">
        <v>22</v>
      </c>
      <c r="H104">
        <v>2</v>
      </c>
      <c r="I104">
        <v>0.1</v>
      </c>
      <c r="J104">
        <v>107.91</v>
      </c>
      <c r="K104" t="s">
        <v>27</v>
      </c>
      <c r="M104" t="s">
        <v>73</v>
      </c>
    </row>
    <row r="105" spans="1:13" x14ac:dyDescent="0.2">
      <c r="A105">
        <v>104</v>
      </c>
      <c r="B105" t="s">
        <v>71</v>
      </c>
      <c r="C105" s="1">
        <v>45614</v>
      </c>
      <c r="D105" t="s">
        <v>72</v>
      </c>
      <c r="E105" t="s">
        <v>33</v>
      </c>
      <c r="F105" t="s">
        <v>40</v>
      </c>
      <c r="G105" t="s">
        <v>17</v>
      </c>
      <c r="H105">
        <v>4</v>
      </c>
      <c r="I105">
        <v>0.1</v>
      </c>
      <c r="J105">
        <v>215.82</v>
      </c>
      <c r="K105" t="s">
        <v>27</v>
      </c>
      <c r="L105" t="s">
        <v>23</v>
      </c>
      <c r="M105" t="s">
        <v>73</v>
      </c>
    </row>
    <row r="106" spans="1:13" x14ac:dyDescent="0.2">
      <c r="A106">
        <v>105</v>
      </c>
      <c r="B106" t="s">
        <v>42</v>
      </c>
      <c r="C106" s="2">
        <v>45507</v>
      </c>
      <c r="D106" t="s">
        <v>43</v>
      </c>
      <c r="E106" t="s">
        <v>15</v>
      </c>
      <c r="F106" t="s">
        <v>66</v>
      </c>
      <c r="G106" t="s">
        <v>67</v>
      </c>
      <c r="H106">
        <v>2</v>
      </c>
      <c r="I106">
        <v>0.15</v>
      </c>
      <c r="J106">
        <v>219.3</v>
      </c>
      <c r="K106" t="s">
        <v>29</v>
      </c>
      <c r="L106" t="s">
        <v>49</v>
      </c>
      <c r="M106" t="b">
        <v>1</v>
      </c>
    </row>
    <row r="107" spans="1:13" x14ac:dyDescent="0.2">
      <c r="A107">
        <v>106</v>
      </c>
      <c r="B107" t="s">
        <v>19</v>
      </c>
      <c r="C107" s="2">
        <v>45457</v>
      </c>
      <c r="D107" t="s">
        <v>20</v>
      </c>
      <c r="E107" t="s">
        <v>15</v>
      </c>
      <c r="F107" t="s">
        <v>53</v>
      </c>
      <c r="G107" t="s">
        <v>54</v>
      </c>
      <c r="H107">
        <v>1</v>
      </c>
      <c r="I107">
        <v>0</v>
      </c>
      <c r="J107">
        <v>89.95</v>
      </c>
      <c r="K107" t="s">
        <v>29</v>
      </c>
      <c r="L107" t="s">
        <v>45</v>
      </c>
      <c r="M107" t="b">
        <v>1</v>
      </c>
    </row>
    <row r="108" spans="1:13" x14ac:dyDescent="0.2">
      <c r="A108">
        <v>107</v>
      </c>
      <c r="B108" t="s">
        <v>37</v>
      </c>
      <c r="C108" s="1">
        <v>45103</v>
      </c>
      <c r="D108" t="s">
        <v>38</v>
      </c>
      <c r="E108" t="s">
        <v>39</v>
      </c>
      <c r="F108" t="s">
        <v>44</v>
      </c>
      <c r="H108">
        <v>1</v>
      </c>
      <c r="I108">
        <v>0</v>
      </c>
      <c r="J108">
        <v>64.95</v>
      </c>
      <c r="K108" t="s">
        <v>29</v>
      </c>
      <c r="L108" t="s">
        <v>55</v>
      </c>
      <c r="M108">
        <v>1</v>
      </c>
    </row>
    <row r="109" spans="1:13" x14ac:dyDescent="0.2">
      <c r="A109">
        <v>108</v>
      </c>
      <c r="B109" t="s">
        <v>50</v>
      </c>
      <c r="C109" s="2">
        <v>45156</v>
      </c>
      <c r="D109" t="s">
        <v>51</v>
      </c>
      <c r="E109" t="s">
        <v>15</v>
      </c>
      <c r="F109" t="s">
        <v>53</v>
      </c>
      <c r="G109" t="s">
        <v>54</v>
      </c>
      <c r="H109">
        <v>2</v>
      </c>
      <c r="I109">
        <v>0</v>
      </c>
      <c r="J109">
        <v>139.9</v>
      </c>
      <c r="K109" t="s">
        <v>80</v>
      </c>
      <c r="L109" t="s">
        <v>49</v>
      </c>
      <c r="M109">
        <v>0</v>
      </c>
    </row>
    <row r="110" spans="1:13" x14ac:dyDescent="0.2">
      <c r="A110">
        <v>109</v>
      </c>
      <c r="B110" t="s">
        <v>71</v>
      </c>
      <c r="C110" s="1">
        <v>45417</v>
      </c>
      <c r="D110" t="s">
        <v>25</v>
      </c>
      <c r="E110" t="s">
        <v>25</v>
      </c>
      <c r="F110" t="s">
        <v>66</v>
      </c>
      <c r="G110" t="s">
        <v>67</v>
      </c>
      <c r="H110">
        <v>1</v>
      </c>
      <c r="I110">
        <v>0</v>
      </c>
      <c r="J110">
        <v>59.95</v>
      </c>
      <c r="K110" t="s">
        <v>29</v>
      </c>
      <c r="L110" t="s">
        <v>30</v>
      </c>
      <c r="M110" t="s">
        <v>25</v>
      </c>
    </row>
    <row r="111" spans="1:13" x14ac:dyDescent="0.2">
      <c r="A111">
        <v>110</v>
      </c>
      <c r="B111" t="s">
        <v>56</v>
      </c>
      <c r="C111" s="2">
        <v>45441</v>
      </c>
      <c r="D111" t="s">
        <v>57</v>
      </c>
      <c r="E111" t="s">
        <v>48</v>
      </c>
      <c r="F111" t="s">
        <v>66</v>
      </c>
      <c r="G111" t="s">
        <v>67</v>
      </c>
      <c r="H111">
        <v>5</v>
      </c>
      <c r="I111">
        <v>0</v>
      </c>
      <c r="J111">
        <v>425</v>
      </c>
      <c r="K111" t="s">
        <v>29</v>
      </c>
      <c r="L111" t="s">
        <v>45</v>
      </c>
      <c r="M111">
        <v>1</v>
      </c>
    </row>
    <row r="112" spans="1:13" x14ac:dyDescent="0.2">
      <c r="A112">
        <v>111</v>
      </c>
      <c r="B112" t="s">
        <v>42</v>
      </c>
      <c r="C112" s="2">
        <v>45567</v>
      </c>
      <c r="D112" t="s">
        <v>43</v>
      </c>
      <c r="E112" t="s">
        <v>15</v>
      </c>
      <c r="F112" t="s">
        <v>53</v>
      </c>
      <c r="G112" t="s">
        <v>54</v>
      </c>
      <c r="H112">
        <v>3</v>
      </c>
      <c r="I112">
        <v>0.05</v>
      </c>
      <c r="J112">
        <v>367.65</v>
      </c>
      <c r="K112" t="s">
        <v>18</v>
      </c>
      <c r="L112" t="s">
        <v>30</v>
      </c>
      <c r="M112" t="b">
        <v>1</v>
      </c>
    </row>
    <row r="113" spans="1:13" x14ac:dyDescent="0.2">
      <c r="A113">
        <v>112</v>
      </c>
      <c r="B113" t="s">
        <v>81</v>
      </c>
      <c r="C113" s="1">
        <v>45583</v>
      </c>
      <c r="D113" t="s">
        <v>82</v>
      </c>
      <c r="E113" t="s">
        <v>15</v>
      </c>
      <c r="F113" t="s">
        <v>40</v>
      </c>
      <c r="G113" t="s">
        <v>17</v>
      </c>
      <c r="H113">
        <v>1</v>
      </c>
      <c r="I113">
        <v>0</v>
      </c>
      <c r="J113">
        <v>79.95</v>
      </c>
      <c r="K113" t="s">
        <v>27</v>
      </c>
      <c r="L113" t="s">
        <v>55</v>
      </c>
      <c r="M113" t="s">
        <v>73</v>
      </c>
    </row>
    <row r="114" spans="1:13" x14ac:dyDescent="0.2">
      <c r="A114">
        <v>113</v>
      </c>
      <c r="B114" t="s">
        <v>83</v>
      </c>
      <c r="C114" s="1">
        <v>45001</v>
      </c>
      <c r="D114" t="s">
        <v>84</v>
      </c>
      <c r="E114" t="s">
        <v>48</v>
      </c>
      <c r="F114" t="s">
        <v>53</v>
      </c>
      <c r="G114" t="s">
        <v>54</v>
      </c>
      <c r="H114">
        <v>2</v>
      </c>
      <c r="I114">
        <v>0.2</v>
      </c>
      <c r="J114">
        <v>79.92</v>
      </c>
      <c r="K114" t="s">
        <v>29</v>
      </c>
      <c r="L114" t="s">
        <v>30</v>
      </c>
      <c r="M114">
        <v>0</v>
      </c>
    </row>
    <row r="115" spans="1:13" x14ac:dyDescent="0.2">
      <c r="A115">
        <v>114</v>
      </c>
      <c r="B115" t="s">
        <v>74</v>
      </c>
      <c r="C115" s="2">
        <v>45174</v>
      </c>
      <c r="D115" t="s">
        <v>75</v>
      </c>
      <c r="E115" t="s">
        <v>76</v>
      </c>
      <c r="F115" t="s">
        <v>40</v>
      </c>
      <c r="G115" t="s">
        <v>17</v>
      </c>
      <c r="H115">
        <v>2</v>
      </c>
      <c r="I115" t="s">
        <v>60</v>
      </c>
      <c r="J115">
        <v>89.9</v>
      </c>
      <c r="K115" t="s">
        <v>52</v>
      </c>
      <c r="L115" t="s">
        <v>55</v>
      </c>
      <c r="M115" t="s">
        <v>77</v>
      </c>
    </row>
    <row r="116" spans="1:13" x14ac:dyDescent="0.2">
      <c r="A116">
        <v>115</v>
      </c>
      <c r="B116" t="s">
        <v>81</v>
      </c>
      <c r="C116" s="2">
        <v>45454</v>
      </c>
      <c r="D116" t="s">
        <v>82</v>
      </c>
      <c r="E116" t="s">
        <v>15</v>
      </c>
      <c r="F116" t="s">
        <v>40</v>
      </c>
      <c r="G116" t="s">
        <v>17</v>
      </c>
      <c r="H116">
        <v>3</v>
      </c>
      <c r="I116">
        <v>0.05</v>
      </c>
      <c r="J116">
        <v>227.86</v>
      </c>
      <c r="K116" t="s">
        <v>29</v>
      </c>
      <c r="L116" t="s">
        <v>45</v>
      </c>
      <c r="M116" t="s">
        <v>73</v>
      </c>
    </row>
    <row r="117" spans="1:13" x14ac:dyDescent="0.2">
      <c r="A117">
        <v>116</v>
      </c>
      <c r="B117" t="s">
        <v>50</v>
      </c>
      <c r="C117" s="2">
        <v>44935</v>
      </c>
      <c r="D117" t="s">
        <v>51</v>
      </c>
      <c r="E117" t="s">
        <v>15</v>
      </c>
      <c r="F117" t="s">
        <v>26</v>
      </c>
      <c r="G117" t="s">
        <v>22</v>
      </c>
      <c r="H117">
        <v>4</v>
      </c>
      <c r="I117">
        <v>0.25</v>
      </c>
      <c r="J117">
        <v>209.85</v>
      </c>
      <c r="K117" t="s">
        <v>80</v>
      </c>
      <c r="L117" t="s">
        <v>30</v>
      </c>
      <c r="M117">
        <v>0</v>
      </c>
    </row>
    <row r="118" spans="1:13" x14ac:dyDescent="0.2">
      <c r="A118">
        <v>117</v>
      </c>
      <c r="B118" t="s">
        <v>42</v>
      </c>
      <c r="C118" s="1">
        <v>45623</v>
      </c>
      <c r="D118" t="s">
        <v>43</v>
      </c>
      <c r="E118" t="s">
        <v>15</v>
      </c>
      <c r="F118" t="s">
        <v>53</v>
      </c>
      <c r="G118" t="s">
        <v>54</v>
      </c>
      <c r="H118">
        <v>4</v>
      </c>
      <c r="I118">
        <v>0.25</v>
      </c>
      <c r="J118">
        <v>387</v>
      </c>
      <c r="K118" t="s">
        <v>80</v>
      </c>
      <c r="L118" t="s">
        <v>30</v>
      </c>
      <c r="M118" t="b">
        <v>1</v>
      </c>
    </row>
    <row r="119" spans="1:13" x14ac:dyDescent="0.2">
      <c r="A119">
        <v>118</v>
      </c>
      <c r="B119" t="s">
        <v>78</v>
      </c>
      <c r="C119" s="2">
        <v>45657</v>
      </c>
      <c r="D119" t="s">
        <v>79</v>
      </c>
      <c r="E119" t="s">
        <v>48</v>
      </c>
      <c r="F119" t="s">
        <v>21</v>
      </c>
      <c r="G119" t="s">
        <v>22</v>
      </c>
      <c r="H119">
        <v>1</v>
      </c>
      <c r="I119">
        <v>0</v>
      </c>
      <c r="J119">
        <v>39.950000000000003</v>
      </c>
      <c r="K119" t="s">
        <v>18</v>
      </c>
      <c r="L119" t="s">
        <v>23</v>
      </c>
      <c r="M119">
        <v>1</v>
      </c>
    </row>
    <row r="120" spans="1:13" x14ac:dyDescent="0.2">
      <c r="A120">
        <v>119</v>
      </c>
      <c r="B120" t="s">
        <v>81</v>
      </c>
      <c r="C120" s="2">
        <v>44944</v>
      </c>
      <c r="D120" t="s">
        <v>82</v>
      </c>
      <c r="E120" t="s">
        <v>15</v>
      </c>
      <c r="F120" t="s">
        <v>53</v>
      </c>
      <c r="G120" t="s">
        <v>54</v>
      </c>
      <c r="H120">
        <v>3</v>
      </c>
      <c r="I120">
        <v>0.25</v>
      </c>
      <c r="J120">
        <v>179.89</v>
      </c>
      <c r="K120" t="s">
        <v>29</v>
      </c>
      <c r="L120" t="s">
        <v>30</v>
      </c>
      <c r="M120" t="s">
        <v>73</v>
      </c>
    </row>
    <row r="121" spans="1:13" x14ac:dyDescent="0.2">
      <c r="A121">
        <v>120</v>
      </c>
      <c r="B121" t="s">
        <v>64</v>
      </c>
      <c r="C121" s="2">
        <v>45418</v>
      </c>
      <c r="D121" t="s">
        <v>65</v>
      </c>
      <c r="E121" t="s">
        <v>33</v>
      </c>
      <c r="F121" t="s">
        <v>44</v>
      </c>
      <c r="H121">
        <v>5</v>
      </c>
      <c r="I121">
        <v>0.05</v>
      </c>
      <c r="J121">
        <v>356.01</v>
      </c>
      <c r="K121" t="s">
        <v>80</v>
      </c>
      <c r="L121" t="s">
        <v>23</v>
      </c>
      <c r="M121">
        <v>0</v>
      </c>
    </row>
    <row r="122" spans="1:13" x14ac:dyDescent="0.2">
      <c r="A122">
        <v>121</v>
      </c>
      <c r="B122" t="s">
        <v>13</v>
      </c>
      <c r="C122" s="1">
        <v>45349</v>
      </c>
      <c r="D122" t="s">
        <v>14</v>
      </c>
      <c r="E122" t="s">
        <v>15</v>
      </c>
      <c r="F122" t="s">
        <v>34</v>
      </c>
      <c r="G122" t="s">
        <v>35</v>
      </c>
      <c r="H122">
        <v>4</v>
      </c>
      <c r="I122">
        <v>0.15</v>
      </c>
      <c r="J122">
        <v>67.97</v>
      </c>
      <c r="K122" t="s">
        <v>18</v>
      </c>
      <c r="L122" t="s">
        <v>28</v>
      </c>
      <c r="M122">
        <v>0</v>
      </c>
    </row>
    <row r="123" spans="1:13" x14ac:dyDescent="0.2">
      <c r="A123">
        <v>122</v>
      </c>
      <c r="B123" t="s">
        <v>83</v>
      </c>
      <c r="C123" s="1">
        <v>45397</v>
      </c>
      <c r="D123" t="s">
        <v>84</v>
      </c>
      <c r="E123" t="s">
        <v>48</v>
      </c>
      <c r="F123" t="s">
        <v>40</v>
      </c>
      <c r="G123" t="s">
        <v>17</v>
      </c>
      <c r="H123">
        <v>5</v>
      </c>
      <c r="I123">
        <v>0.2</v>
      </c>
      <c r="J123">
        <v>199.8</v>
      </c>
      <c r="K123" t="s">
        <v>18</v>
      </c>
      <c r="L123" t="s">
        <v>49</v>
      </c>
      <c r="M123">
        <v>0</v>
      </c>
    </row>
    <row r="124" spans="1:13" x14ac:dyDescent="0.2">
      <c r="A124">
        <v>123</v>
      </c>
      <c r="B124" t="s">
        <v>64</v>
      </c>
      <c r="C124" s="1">
        <v>45222</v>
      </c>
      <c r="D124" t="s">
        <v>65</v>
      </c>
      <c r="E124" t="s">
        <v>33</v>
      </c>
      <c r="F124" t="s">
        <v>34</v>
      </c>
      <c r="G124" t="s">
        <v>35</v>
      </c>
      <c r="H124">
        <v>5</v>
      </c>
      <c r="I124">
        <v>0.1</v>
      </c>
      <c r="J124">
        <v>337.28</v>
      </c>
      <c r="K124" t="s">
        <v>52</v>
      </c>
      <c r="L124" t="s">
        <v>63</v>
      </c>
      <c r="M124">
        <v>0</v>
      </c>
    </row>
    <row r="125" spans="1:13" x14ac:dyDescent="0.2">
      <c r="A125">
        <v>124</v>
      </c>
      <c r="B125" t="s">
        <v>74</v>
      </c>
      <c r="C125" s="1">
        <v>45221</v>
      </c>
      <c r="D125" t="s">
        <v>75</v>
      </c>
      <c r="E125" t="s">
        <v>76</v>
      </c>
      <c r="F125" t="s">
        <v>21</v>
      </c>
      <c r="G125" t="s">
        <v>22</v>
      </c>
      <c r="H125">
        <v>3</v>
      </c>
      <c r="I125">
        <v>0</v>
      </c>
      <c r="J125">
        <v>134.85</v>
      </c>
      <c r="K125" t="s">
        <v>27</v>
      </c>
      <c r="L125" t="s">
        <v>30</v>
      </c>
      <c r="M125" t="s">
        <v>77</v>
      </c>
    </row>
    <row r="126" spans="1:13" x14ac:dyDescent="0.2">
      <c r="A126">
        <v>125</v>
      </c>
      <c r="B126" t="s">
        <v>61</v>
      </c>
      <c r="C126" s="1">
        <v>45612</v>
      </c>
      <c r="D126" t="s">
        <v>62</v>
      </c>
      <c r="E126" t="s">
        <v>33</v>
      </c>
      <c r="F126" t="s">
        <v>53</v>
      </c>
      <c r="G126" t="s">
        <v>54</v>
      </c>
      <c r="H126">
        <v>1</v>
      </c>
      <c r="I126">
        <v>0.05</v>
      </c>
      <c r="J126">
        <v>33.24</v>
      </c>
      <c r="K126" t="s">
        <v>27</v>
      </c>
      <c r="L126" t="s">
        <v>63</v>
      </c>
      <c r="M126">
        <v>0</v>
      </c>
    </row>
    <row r="127" spans="1:13" x14ac:dyDescent="0.2">
      <c r="A127">
        <v>126</v>
      </c>
      <c r="B127" t="s">
        <v>85</v>
      </c>
      <c r="C127" s="2">
        <v>45255</v>
      </c>
      <c r="D127" t="s">
        <v>86</v>
      </c>
      <c r="E127" t="s">
        <v>76</v>
      </c>
      <c r="F127" t="s">
        <v>66</v>
      </c>
      <c r="G127" t="s">
        <v>67</v>
      </c>
      <c r="H127">
        <v>4</v>
      </c>
      <c r="I127">
        <v>0.25</v>
      </c>
      <c r="J127">
        <v>269.85000000000002</v>
      </c>
      <c r="K127" t="s">
        <v>52</v>
      </c>
      <c r="L127" t="s">
        <v>63</v>
      </c>
      <c r="M127" t="s">
        <v>73</v>
      </c>
    </row>
    <row r="128" spans="1:13" x14ac:dyDescent="0.2">
      <c r="A128">
        <v>127</v>
      </c>
      <c r="B128" t="s">
        <v>85</v>
      </c>
      <c r="C128" s="1">
        <v>45117</v>
      </c>
      <c r="D128" t="s">
        <v>86</v>
      </c>
      <c r="E128" t="s">
        <v>76</v>
      </c>
      <c r="F128" t="s">
        <v>66</v>
      </c>
      <c r="G128" t="s">
        <v>67</v>
      </c>
      <c r="H128">
        <v>2</v>
      </c>
      <c r="I128">
        <v>0</v>
      </c>
      <c r="J128">
        <v>179.9</v>
      </c>
      <c r="K128" t="s">
        <v>29</v>
      </c>
      <c r="L128" t="s">
        <v>28</v>
      </c>
      <c r="M128" t="s">
        <v>73</v>
      </c>
    </row>
    <row r="129" spans="1:13" x14ac:dyDescent="0.2">
      <c r="A129">
        <v>128</v>
      </c>
      <c r="B129" t="s">
        <v>61</v>
      </c>
      <c r="C129" s="2">
        <v>45042</v>
      </c>
      <c r="D129" t="s">
        <v>62</v>
      </c>
      <c r="E129" t="s">
        <v>33</v>
      </c>
      <c r="F129" t="s">
        <v>44</v>
      </c>
      <c r="H129">
        <v>5</v>
      </c>
      <c r="I129">
        <v>0.25</v>
      </c>
      <c r="J129">
        <v>131.21</v>
      </c>
      <c r="K129" t="s">
        <v>18</v>
      </c>
      <c r="L129" t="s">
        <v>30</v>
      </c>
      <c r="M129">
        <v>0</v>
      </c>
    </row>
    <row r="130" spans="1:13" x14ac:dyDescent="0.2">
      <c r="A130">
        <v>129</v>
      </c>
      <c r="B130" t="s">
        <v>71</v>
      </c>
      <c r="C130" s="1">
        <v>45337</v>
      </c>
      <c r="D130" t="s">
        <v>72</v>
      </c>
      <c r="E130" t="s">
        <v>33</v>
      </c>
      <c r="F130" t="s">
        <v>66</v>
      </c>
      <c r="G130" t="s">
        <v>67</v>
      </c>
      <c r="H130">
        <v>4</v>
      </c>
      <c r="I130">
        <v>0.2</v>
      </c>
      <c r="J130">
        <v>191.84</v>
      </c>
      <c r="K130" t="s">
        <v>27</v>
      </c>
      <c r="L130" t="s">
        <v>49</v>
      </c>
      <c r="M130" t="s">
        <v>73</v>
      </c>
    </row>
    <row r="131" spans="1:13" x14ac:dyDescent="0.2">
      <c r="A131">
        <v>130</v>
      </c>
      <c r="B131" t="s">
        <v>50</v>
      </c>
      <c r="C131" s="1">
        <v>45295</v>
      </c>
      <c r="D131" t="s">
        <v>51</v>
      </c>
      <c r="E131" t="s">
        <v>15</v>
      </c>
      <c r="F131" t="s">
        <v>40</v>
      </c>
      <c r="G131" t="s">
        <v>17</v>
      </c>
      <c r="H131">
        <v>5</v>
      </c>
      <c r="I131">
        <v>0</v>
      </c>
      <c r="J131">
        <v>349.75</v>
      </c>
      <c r="K131" t="s">
        <v>36</v>
      </c>
      <c r="L131" t="s">
        <v>30</v>
      </c>
      <c r="M131">
        <v>0</v>
      </c>
    </row>
    <row r="132" spans="1:13" x14ac:dyDescent="0.2">
      <c r="A132">
        <v>131</v>
      </c>
      <c r="B132" t="s">
        <v>50</v>
      </c>
      <c r="C132" s="2">
        <v>45416</v>
      </c>
      <c r="D132" t="s">
        <v>51</v>
      </c>
      <c r="E132" t="s">
        <v>15</v>
      </c>
      <c r="F132" t="s">
        <v>16</v>
      </c>
      <c r="G132" t="s">
        <v>17</v>
      </c>
      <c r="H132">
        <v>3</v>
      </c>
      <c r="I132">
        <v>0.05</v>
      </c>
      <c r="J132">
        <v>199.36</v>
      </c>
      <c r="K132" t="s">
        <v>18</v>
      </c>
      <c r="L132" t="s">
        <v>63</v>
      </c>
      <c r="M132">
        <v>0</v>
      </c>
    </row>
    <row r="133" spans="1:13" x14ac:dyDescent="0.2">
      <c r="A133">
        <v>132</v>
      </c>
      <c r="B133" t="s">
        <v>71</v>
      </c>
      <c r="C133" s="2">
        <v>45504</v>
      </c>
      <c r="D133" t="s">
        <v>72</v>
      </c>
      <c r="E133" t="s">
        <v>33</v>
      </c>
      <c r="F133" t="s">
        <v>34</v>
      </c>
      <c r="G133" t="s">
        <v>35</v>
      </c>
      <c r="H133">
        <v>1</v>
      </c>
      <c r="I133">
        <v>0.25</v>
      </c>
      <c r="J133">
        <v>44.96</v>
      </c>
      <c r="K133" t="s">
        <v>27</v>
      </c>
      <c r="L133" t="s">
        <v>49</v>
      </c>
      <c r="M133" t="s">
        <v>73</v>
      </c>
    </row>
    <row r="134" spans="1:13" x14ac:dyDescent="0.2">
      <c r="A134">
        <v>133</v>
      </c>
      <c r="B134" t="s">
        <v>81</v>
      </c>
      <c r="C134" s="2">
        <v>45391</v>
      </c>
      <c r="D134" t="s">
        <v>82</v>
      </c>
      <c r="E134" t="s">
        <v>15</v>
      </c>
      <c r="F134" t="s">
        <v>34</v>
      </c>
      <c r="G134" t="s">
        <v>35</v>
      </c>
      <c r="H134">
        <v>4</v>
      </c>
      <c r="I134">
        <v>0</v>
      </c>
      <c r="J134">
        <v>319.8</v>
      </c>
      <c r="K134" t="s">
        <v>27</v>
      </c>
      <c r="L134" t="s">
        <v>41</v>
      </c>
      <c r="M134" t="s">
        <v>73</v>
      </c>
    </row>
    <row r="135" spans="1:13" x14ac:dyDescent="0.2">
      <c r="A135">
        <v>134</v>
      </c>
      <c r="B135" t="s">
        <v>81</v>
      </c>
      <c r="C135" s="2">
        <v>45644</v>
      </c>
      <c r="D135" t="s">
        <v>82</v>
      </c>
      <c r="E135" t="s">
        <v>15</v>
      </c>
      <c r="F135" t="s">
        <v>34</v>
      </c>
      <c r="G135" t="s">
        <v>35</v>
      </c>
      <c r="H135">
        <v>1</v>
      </c>
      <c r="I135">
        <v>0</v>
      </c>
      <c r="J135">
        <v>79.95</v>
      </c>
      <c r="K135" t="s">
        <v>52</v>
      </c>
      <c r="L135" t="s">
        <v>28</v>
      </c>
      <c r="M135" t="s">
        <v>73</v>
      </c>
    </row>
    <row r="136" spans="1:13" x14ac:dyDescent="0.2">
      <c r="A136">
        <v>135</v>
      </c>
      <c r="B136" t="s">
        <v>85</v>
      </c>
      <c r="C136" s="2">
        <v>45311</v>
      </c>
      <c r="D136" t="s">
        <v>86</v>
      </c>
      <c r="E136" t="s">
        <v>76</v>
      </c>
      <c r="F136" t="s">
        <v>66</v>
      </c>
      <c r="G136" t="s">
        <v>67</v>
      </c>
      <c r="H136">
        <v>3</v>
      </c>
      <c r="I136">
        <v>0.2</v>
      </c>
      <c r="J136">
        <v>215.88</v>
      </c>
      <c r="K136" t="s">
        <v>29</v>
      </c>
      <c r="L136" t="s">
        <v>41</v>
      </c>
      <c r="M136" t="s">
        <v>73</v>
      </c>
    </row>
    <row r="137" spans="1:13" x14ac:dyDescent="0.2">
      <c r="A137">
        <v>136</v>
      </c>
      <c r="B137" t="s">
        <v>13</v>
      </c>
      <c r="C137" s="2">
        <v>45484</v>
      </c>
      <c r="D137" t="s">
        <v>14</v>
      </c>
      <c r="E137" t="s">
        <v>15</v>
      </c>
      <c r="F137" t="s">
        <v>34</v>
      </c>
      <c r="G137" t="s">
        <v>35</v>
      </c>
      <c r="H137">
        <v>1</v>
      </c>
      <c r="I137">
        <v>0.1</v>
      </c>
      <c r="J137">
        <v>17.989999999999998</v>
      </c>
      <c r="K137" t="s">
        <v>36</v>
      </c>
      <c r="L137" t="s">
        <v>41</v>
      </c>
      <c r="M137">
        <v>0</v>
      </c>
    </row>
    <row r="138" spans="1:13" x14ac:dyDescent="0.2">
      <c r="A138">
        <v>137</v>
      </c>
      <c r="B138" t="s">
        <v>71</v>
      </c>
      <c r="C138" s="1">
        <v>45030</v>
      </c>
      <c r="D138" t="s">
        <v>72</v>
      </c>
      <c r="E138" t="s">
        <v>33</v>
      </c>
      <c r="G138" t="s">
        <v>25</v>
      </c>
      <c r="H138">
        <v>1</v>
      </c>
      <c r="I138">
        <v>0</v>
      </c>
      <c r="J138">
        <v>59.95</v>
      </c>
      <c r="K138" t="s">
        <v>27</v>
      </c>
      <c r="L138" t="s">
        <v>63</v>
      </c>
      <c r="M138" t="s">
        <v>73</v>
      </c>
    </row>
    <row r="139" spans="1:13" x14ac:dyDescent="0.2">
      <c r="A139">
        <v>138</v>
      </c>
      <c r="B139" t="s">
        <v>61</v>
      </c>
      <c r="C139" s="2">
        <v>45516</v>
      </c>
      <c r="D139" t="s">
        <v>62</v>
      </c>
      <c r="E139" t="s">
        <v>33</v>
      </c>
      <c r="F139" t="s">
        <v>26</v>
      </c>
      <c r="G139" t="s">
        <v>22</v>
      </c>
      <c r="H139">
        <v>5</v>
      </c>
      <c r="I139">
        <v>0.1</v>
      </c>
      <c r="J139">
        <v>157.46</v>
      </c>
      <c r="K139" t="s">
        <v>36</v>
      </c>
      <c r="L139" t="s">
        <v>63</v>
      </c>
      <c r="M139">
        <v>0</v>
      </c>
    </row>
    <row r="140" spans="1:13" x14ac:dyDescent="0.2">
      <c r="A140">
        <v>139</v>
      </c>
      <c r="B140" t="s">
        <v>58</v>
      </c>
      <c r="C140" s="2">
        <v>45434</v>
      </c>
      <c r="D140" t="s">
        <v>59</v>
      </c>
      <c r="E140" t="s">
        <v>15</v>
      </c>
      <c r="F140" t="s">
        <v>53</v>
      </c>
      <c r="G140" t="s">
        <v>54</v>
      </c>
      <c r="H140">
        <v>5</v>
      </c>
      <c r="I140">
        <v>0</v>
      </c>
      <c r="J140">
        <v>299.75</v>
      </c>
      <c r="K140" t="s">
        <v>80</v>
      </c>
      <c r="L140" t="s">
        <v>28</v>
      </c>
      <c r="M140">
        <v>1</v>
      </c>
    </row>
    <row r="141" spans="1:13" x14ac:dyDescent="0.2">
      <c r="A141">
        <v>140</v>
      </c>
      <c r="B141" t="s">
        <v>19</v>
      </c>
      <c r="C141" s="1">
        <v>44986</v>
      </c>
      <c r="D141" t="s">
        <v>20</v>
      </c>
      <c r="E141" t="s">
        <v>15</v>
      </c>
      <c r="F141" t="s">
        <v>44</v>
      </c>
      <c r="H141">
        <v>2</v>
      </c>
      <c r="I141">
        <v>0.1</v>
      </c>
      <c r="J141">
        <v>161.91</v>
      </c>
      <c r="K141" t="s">
        <v>29</v>
      </c>
      <c r="L141" t="s">
        <v>45</v>
      </c>
      <c r="M141" t="b">
        <v>1</v>
      </c>
    </row>
    <row r="142" spans="1:13" x14ac:dyDescent="0.2">
      <c r="A142">
        <v>141</v>
      </c>
      <c r="B142" t="s">
        <v>42</v>
      </c>
      <c r="C142" s="1">
        <v>45313</v>
      </c>
      <c r="D142" t="s">
        <v>43</v>
      </c>
      <c r="E142" t="s">
        <v>15</v>
      </c>
      <c r="F142" t="s">
        <v>40</v>
      </c>
      <c r="G142" t="s">
        <v>17</v>
      </c>
      <c r="H142">
        <v>5</v>
      </c>
      <c r="I142">
        <v>0.05</v>
      </c>
      <c r="J142">
        <v>612.75</v>
      </c>
      <c r="K142" t="s">
        <v>52</v>
      </c>
      <c r="L142" t="s">
        <v>23</v>
      </c>
      <c r="M142" t="b">
        <v>1</v>
      </c>
    </row>
    <row r="143" spans="1:13" x14ac:dyDescent="0.2">
      <c r="A143">
        <v>142</v>
      </c>
      <c r="B143" t="s">
        <v>88</v>
      </c>
      <c r="C143" s="1">
        <v>45047</v>
      </c>
      <c r="D143" t="s">
        <v>89</v>
      </c>
      <c r="E143" t="s">
        <v>33</v>
      </c>
      <c r="F143" t="s">
        <v>34</v>
      </c>
      <c r="G143" t="s">
        <v>35</v>
      </c>
      <c r="H143">
        <v>3</v>
      </c>
      <c r="I143">
        <v>0</v>
      </c>
      <c r="J143">
        <v>594</v>
      </c>
      <c r="K143" t="s">
        <v>18</v>
      </c>
      <c r="L143" t="s">
        <v>63</v>
      </c>
      <c r="M143" t="b">
        <v>0</v>
      </c>
    </row>
    <row r="144" spans="1:13" x14ac:dyDescent="0.2">
      <c r="A144">
        <v>143</v>
      </c>
      <c r="B144" t="s">
        <v>24</v>
      </c>
      <c r="C144" s="1">
        <v>45295</v>
      </c>
      <c r="D144" t="s">
        <v>87</v>
      </c>
      <c r="E144" t="s">
        <v>39</v>
      </c>
      <c r="F144" t="s">
        <v>21</v>
      </c>
      <c r="G144" t="s">
        <v>22</v>
      </c>
      <c r="H144">
        <v>5</v>
      </c>
      <c r="I144">
        <v>0.15</v>
      </c>
      <c r="J144">
        <v>191.04</v>
      </c>
      <c r="K144" t="s">
        <v>52</v>
      </c>
      <c r="L144" t="s">
        <v>30</v>
      </c>
      <c r="M144" t="b">
        <v>1</v>
      </c>
    </row>
    <row r="145" spans="1:13" x14ac:dyDescent="0.2">
      <c r="A145">
        <v>144</v>
      </c>
      <c r="B145" t="s">
        <v>81</v>
      </c>
      <c r="C145" s="1">
        <v>45493</v>
      </c>
      <c r="D145" t="s">
        <v>82</v>
      </c>
      <c r="E145" t="s">
        <v>15</v>
      </c>
      <c r="F145" t="s">
        <v>26</v>
      </c>
      <c r="G145" t="s">
        <v>22</v>
      </c>
      <c r="H145">
        <v>2</v>
      </c>
      <c r="I145">
        <v>0</v>
      </c>
      <c r="J145">
        <v>159.9</v>
      </c>
      <c r="K145" t="s">
        <v>52</v>
      </c>
      <c r="L145" t="s">
        <v>23</v>
      </c>
      <c r="M145" t="s">
        <v>73</v>
      </c>
    </row>
    <row r="146" spans="1:13" x14ac:dyDescent="0.2">
      <c r="A146">
        <v>145</v>
      </c>
      <c r="B146" t="s">
        <v>64</v>
      </c>
      <c r="C146" s="2">
        <v>45287</v>
      </c>
      <c r="D146" t="s">
        <v>65</v>
      </c>
      <c r="E146" t="s">
        <v>33</v>
      </c>
      <c r="F146" t="s">
        <v>40</v>
      </c>
      <c r="G146" t="s">
        <v>17</v>
      </c>
      <c r="H146">
        <v>4</v>
      </c>
      <c r="I146">
        <v>0.25</v>
      </c>
      <c r="J146">
        <v>224.85</v>
      </c>
      <c r="K146" t="s">
        <v>18</v>
      </c>
      <c r="L146" t="s">
        <v>41</v>
      </c>
      <c r="M146">
        <v>0</v>
      </c>
    </row>
    <row r="147" spans="1:13" x14ac:dyDescent="0.2">
      <c r="A147">
        <v>146</v>
      </c>
      <c r="B147" t="s">
        <v>58</v>
      </c>
      <c r="C147" s="2">
        <v>45163</v>
      </c>
      <c r="D147" t="s">
        <v>59</v>
      </c>
      <c r="E147" t="s">
        <v>15</v>
      </c>
      <c r="F147" t="s">
        <v>16</v>
      </c>
      <c r="G147" t="s">
        <v>17</v>
      </c>
      <c r="H147">
        <v>1</v>
      </c>
      <c r="I147">
        <v>0.2</v>
      </c>
      <c r="J147">
        <v>47.96</v>
      </c>
      <c r="K147" t="s">
        <v>36</v>
      </c>
      <c r="L147" t="s">
        <v>45</v>
      </c>
      <c r="M147">
        <v>1</v>
      </c>
    </row>
    <row r="148" spans="1:13" x14ac:dyDescent="0.2">
      <c r="A148">
        <v>147</v>
      </c>
      <c r="B148" t="s">
        <v>83</v>
      </c>
      <c r="C148" s="1">
        <v>44944</v>
      </c>
      <c r="D148" t="s">
        <v>84</v>
      </c>
      <c r="E148" t="s">
        <v>48</v>
      </c>
      <c r="F148" t="s">
        <v>44</v>
      </c>
      <c r="H148">
        <v>1</v>
      </c>
      <c r="I148">
        <v>0</v>
      </c>
      <c r="J148">
        <v>49.95</v>
      </c>
      <c r="K148" t="s">
        <v>27</v>
      </c>
      <c r="L148" t="s">
        <v>28</v>
      </c>
      <c r="M148">
        <v>0</v>
      </c>
    </row>
    <row r="149" spans="1:13" x14ac:dyDescent="0.2">
      <c r="A149">
        <v>148</v>
      </c>
      <c r="B149" t="s">
        <v>78</v>
      </c>
      <c r="C149" s="2">
        <v>45466</v>
      </c>
      <c r="D149" t="s">
        <v>79</v>
      </c>
      <c r="E149" t="s">
        <v>48</v>
      </c>
      <c r="F149" t="s">
        <v>16</v>
      </c>
      <c r="G149" t="s">
        <v>17</v>
      </c>
      <c r="H149">
        <v>2</v>
      </c>
      <c r="I149">
        <v>0.05</v>
      </c>
      <c r="J149">
        <v>75.900000000000006</v>
      </c>
      <c r="K149" t="s">
        <v>80</v>
      </c>
      <c r="L149" t="s">
        <v>63</v>
      </c>
      <c r="M149">
        <v>1</v>
      </c>
    </row>
    <row r="150" spans="1:13" x14ac:dyDescent="0.2">
      <c r="A150">
        <v>149</v>
      </c>
      <c r="B150" t="s">
        <v>58</v>
      </c>
      <c r="C150" s="2">
        <v>45492</v>
      </c>
      <c r="D150" t="s">
        <v>59</v>
      </c>
      <c r="E150" t="s">
        <v>15</v>
      </c>
      <c r="F150" t="s">
        <v>16</v>
      </c>
      <c r="G150" t="s">
        <v>17</v>
      </c>
      <c r="H150">
        <v>1</v>
      </c>
      <c r="I150">
        <v>0.2</v>
      </c>
      <c r="J150">
        <v>47.96</v>
      </c>
      <c r="K150" t="s">
        <v>29</v>
      </c>
      <c r="L150" t="s">
        <v>28</v>
      </c>
      <c r="M150">
        <v>1</v>
      </c>
    </row>
    <row r="151" spans="1:13" x14ac:dyDescent="0.2">
      <c r="A151">
        <v>150</v>
      </c>
      <c r="B151" t="s">
        <v>78</v>
      </c>
      <c r="C151" s="2">
        <v>45507</v>
      </c>
      <c r="D151" t="s">
        <v>79</v>
      </c>
      <c r="E151" t="s">
        <v>48</v>
      </c>
      <c r="F151" t="s">
        <v>16</v>
      </c>
      <c r="G151" t="s">
        <v>17</v>
      </c>
      <c r="H151">
        <v>1</v>
      </c>
      <c r="I151">
        <v>0.05</v>
      </c>
      <c r="J151">
        <v>37.950000000000003</v>
      </c>
      <c r="K151" t="s">
        <v>36</v>
      </c>
      <c r="L151" t="s">
        <v>63</v>
      </c>
      <c r="M151">
        <v>1</v>
      </c>
    </row>
    <row r="152" spans="1:13" x14ac:dyDescent="0.2">
      <c r="A152">
        <v>151</v>
      </c>
      <c r="B152" t="s">
        <v>37</v>
      </c>
      <c r="C152" s="2">
        <v>45233</v>
      </c>
      <c r="D152" t="s">
        <v>38</v>
      </c>
      <c r="E152" t="s">
        <v>39</v>
      </c>
      <c r="F152" t="s">
        <v>26</v>
      </c>
      <c r="G152" t="s">
        <v>22</v>
      </c>
      <c r="H152">
        <v>5</v>
      </c>
      <c r="I152">
        <v>0</v>
      </c>
      <c r="J152">
        <v>324.75</v>
      </c>
      <c r="K152" t="s">
        <v>27</v>
      </c>
      <c r="L152" t="s">
        <v>28</v>
      </c>
      <c r="M152">
        <v>1</v>
      </c>
    </row>
    <row r="153" spans="1:13" x14ac:dyDescent="0.2">
      <c r="A153">
        <v>152</v>
      </c>
      <c r="B153" t="s">
        <v>78</v>
      </c>
      <c r="C153" s="2">
        <v>45164</v>
      </c>
      <c r="D153" t="s">
        <v>25</v>
      </c>
      <c r="E153" t="s">
        <v>25</v>
      </c>
      <c r="F153" t="s">
        <v>16</v>
      </c>
      <c r="G153" t="s">
        <v>17</v>
      </c>
      <c r="H153">
        <v>3</v>
      </c>
      <c r="I153">
        <v>0</v>
      </c>
      <c r="J153">
        <v>119.85</v>
      </c>
      <c r="K153" t="s">
        <v>29</v>
      </c>
      <c r="L153" t="s">
        <v>55</v>
      </c>
      <c r="M153" t="s">
        <v>25</v>
      </c>
    </row>
    <row r="154" spans="1:13" x14ac:dyDescent="0.2">
      <c r="A154">
        <v>153</v>
      </c>
      <c r="B154" t="s">
        <v>19</v>
      </c>
      <c r="C154" s="1">
        <v>45623</v>
      </c>
      <c r="D154" t="s">
        <v>20</v>
      </c>
      <c r="E154" t="s">
        <v>15</v>
      </c>
      <c r="F154" t="s">
        <v>44</v>
      </c>
      <c r="H154">
        <v>3</v>
      </c>
      <c r="I154">
        <v>0.2</v>
      </c>
      <c r="J154">
        <v>215.88</v>
      </c>
      <c r="K154" t="s">
        <v>18</v>
      </c>
      <c r="L154" t="s">
        <v>28</v>
      </c>
      <c r="M154" t="b">
        <v>1</v>
      </c>
    </row>
    <row r="155" spans="1:13" x14ac:dyDescent="0.2">
      <c r="A155">
        <v>154</v>
      </c>
      <c r="B155" t="s">
        <v>74</v>
      </c>
      <c r="C155" s="2">
        <v>44932</v>
      </c>
      <c r="D155" t="s">
        <v>75</v>
      </c>
      <c r="E155" t="s">
        <v>76</v>
      </c>
      <c r="F155" t="s">
        <v>66</v>
      </c>
      <c r="G155" t="s">
        <v>67</v>
      </c>
      <c r="H155">
        <v>3</v>
      </c>
      <c r="I155">
        <v>0.15</v>
      </c>
      <c r="J155">
        <v>114.62</v>
      </c>
      <c r="K155" t="s">
        <v>27</v>
      </c>
      <c r="L155" t="s">
        <v>55</v>
      </c>
      <c r="M155" t="s">
        <v>77</v>
      </c>
    </row>
    <row r="156" spans="1:13" x14ac:dyDescent="0.2">
      <c r="A156">
        <v>155</v>
      </c>
      <c r="B156" t="s">
        <v>68</v>
      </c>
      <c r="C156" s="2">
        <v>44939</v>
      </c>
      <c r="D156" t="s">
        <v>69</v>
      </c>
      <c r="E156" t="s">
        <v>33</v>
      </c>
      <c r="F156" t="s">
        <v>16</v>
      </c>
      <c r="G156" t="s">
        <v>17</v>
      </c>
      <c r="H156">
        <v>5</v>
      </c>
      <c r="I156">
        <v>0</v>
      </c>
      <c r="J156">
        <v>595</v>
      </c>
      <c r="K156" t="s">
        <v>29</v>
      </c>
      <c r="L156" t="s">
        <v>49</v>
      </c>
      <c r="M156" t="b">
        <v>0</v>
      </c>
    </row>
    <row r="157" spans="1:13" x14ac:dyDescent="0.2">
      <c r="A157">
        <v>156</v>
      </c>
      <c r="B157" t="s">
        <v>61</v>
      </c>
      <c r="C157" s="2">
        <v>45076</v>
      </c>
      <c r="D157" t="s">
        <v>62</v>
      </c>
      <c r="E157" t="s">
        <v>33</v>
      </c>
      <c r="F157" t="s">
        <v>66</v>
      </c>
      <c r="G157" t="s">
        <v>67</v>
      </c>
      <c r="H157">
        <v>3</v>
      </c>
      <c r="I157">
        <v>0.1</v>
      </c>
      <c r="J157">
        <v>94.47</v>
      </c>
      <c r="K157" t="s">
        <v>29</v>
      </c>
      <c r="L157" t="s">
        <v>30</v>
      </c>
      <c r="M157">
        <v>0</v>
      </c>
    </row>
    <row r="158" spans="1:13" x14ac:dyDescent="0.2">
      <c r="A158">
        <v>157</v>
      </c>
      <c r="B158" t="s">
        <v>24</v>
      </c>
      <c r="C158" s="2">
        <v>45332</v>
      </c>
      <c r="D158" t="s">
        <v>87</v>
      </c>
      <c r="E158" t="s">
        <v>39</v>
      </c>
      <c r="F158" t="s">
        <v>34</v>
      </c>
      <c r="G158" t="s">
        <v>35</v>
      </c>
      <c r="H158">
        <v>1</v>
      </c>
      <c r="I158">
        <v>0</v>
      </c>
      <c r="J158">
        <v>44.95</v>
      </c>
      <c r="K158" t="s">
        <v>27</v>
      </c>
      <c r="L158" t="s">
        <v>30</v>
      </c>
      <c r="M158" t="b">
        <v>1</v>
      </c>
    </row>
    <row r="159" spans="1:13" x14ac:dyDescent="0.2">
      <c r="A159">
        <v>158</v>
      </c>
      <c r="B159" t="s">
        <v>88</v>
      </c>
      <c r="C159" s="2">
        <v>45108</v>
      </c>
      <c r="D159" t="s">
        <v>89</v>
      </c>
      <c r="E159" t="s">
        <v>33</v>
      </c>
      <c r="F159" t="s">
        <v>53</v>
      </c>
      <c r="G159" t="s">
        <v>54</v>
      </c>
      <c r="H159">
        <v>5</v>
      </c>
      <c r="I159">
        <v>0.05</v>
      </c>
      <c r="J159">
        <v>940.5</v>
      </c>
      <c r="K159" t="s">
        <v>52</v>
      </c>
      <c r="L159" t="s">
        <v>41</v>
      </c>
      <c r="M159" t="b">
        <v>0</v>
      </c>
    </row>
    <row r="160" spans="1:13" x14ac:dyDescent="0.2">
      <c r="A160">
        <v>159</v>
      </c>
      <c r="B160" t="s">
        <v>68</v>
      </c>
      <c r="C160" s="2">
        <v>45490</v>
      </c>
      <c r="D160" t="s">
        <v>69</v>
      </c>
      <c r="E160" t="s">
        <v>33</v>
      </c>
      <c r="F160" t="s">
        <v>21</v>
      </c>
      <c r="G160" t="s">
        <v>22</v>
      </c>
      <c r="H160">
        <v>1</v>
      </c>
      <c r="I160">
        <v>0.05</v>
      </c>
      <c r="J160">
        <v>113.05</v>
      </c>
      <c r="K160" t="s">
        <v>36</v>
      </c>
      <c r="L160" t="s">
        <v>45</v>
      </c>
      <c r="M160" t="b">
        <v>0</v>
      </c>
    </row>
    <row r="161" spans="1:13" x14ac:dyDescent="0.2">
      <c r="A161">
        <v>160</v>
      </c>
      <c r="B161" t="s">
        <v>83</v>
      </c>
      <c r="C161" s="2">
        <v>45601</v>
      </c>
      <c r="D161" t="s">
        <v>84</v>
      </c>
      <c r="E161" t="s">
        <v>48</v>
      </c>
      <c r="F161" t="s">
        <v>21</v>
      </c>
      <c r="G161" t="s">
        <v>22</v>
      </c>
      <c r="H161">
        <v>2</v>
      </c>
      <c r="I161">
        <v>0.1</v>
      </c>
      <c r="J161">
        <v>89.91</v>
      </c>
      <c r="K161" t="s">
        <v>52</v>
      </c>
      <c r="L161" t="s">
        <v>63</v>
      </c>
      <c r="M161">
        <v>0</v>
      </c>
    </row>
    <row r="162" spans="1:13" x14ac:dyDescent="0.2">
      <c r="A162">
        <v>161</v>
      </c>
      <c r="B162" t="s">
        <v>56</v>
      </c>
      <c r="C162" s="1">
        <v>45181</v>
      </c>
      <c r="D162" t="s">
        <v>57</v>
      </c>
      <c r="E162" t="s">
        <v>48</v>
      </c>
      <c r="F162" t="s">
        <v>21</v>
      </c>
      <c r="G162" t="s">
        <v>22</v>
      </c>
      <c r="H162">
        <v>1</v>
      </c>
      <c r="I162">
        <v>0.15</v>
      </c>
      <c r="J162">
        <v>72.25</v>
      </c>
      <c r="K162" t="s">
        <v>27</v>
      </c>
      <c r="L162" t="s">
        <v>55</v>
      </c>
      <c r="M162">
        <v>1</v>
      </c>
    </row>
    <row r="163" spans="1:13" x14ac:dyDescent="0.2">
      <c r="A163">
        <v>162</v>
      </c>
      <c r="B163" t="s">
        <v>46</v>
      </c>
      <c r="C163" s="1">
        <v>45449</v>
      </c>
      <c r="D163" t="s">
        <v>47</v>
      </c>
      <c r="E163" t="s">
        <v>48</v>
      </c>
      <c r="F163" t="s">
        <v>21</v>
      </c>
      <c r="G163" t="s">
        <v>22</v>
      </c>
      <c r="H163">
        <v>1</v>
      </c>
      <c r="I163">
        <v>0</v>
      </c>
      <c r="J163">
        <v>49.95</v>
      </c>
      <c r="K163" t="s">
        <v>18</v>
      </c>
      <c r="L163" t="s">
        <v>30</v>
      </c>
      <c r="M163">
        <v>0</v>
      </c>
    </row>
    <row r="164" spans="1:13" x14ac:dyDescent="0.2">
      <c r="A164">
        <v>163</v>
      </c>
      <c r="B164" t="s">
        <v>13</v>
      </c>
      <c r="C164" s="2">
        <v>45014</v>
      </c>
      <c r="D164" t="s">
        <v>14</v>
      </c>
      <c r="E164" t="s">
        <v>15</v>
      </c>
      <c r="F164" t="s">
        <v>40</v>
      </c>
      <c r="G164" t="s">
        <v>17</v>
      </c>
      <c r="H164">
        <v>4</v>
      </c>
      <c r="I164">
        <v>0</v>
      </c>
      <c r="J164">
        <v>79.959999999999994</v>
      </c>
      <c r="K164" t="s">
        <v>29</v>
      </c>
      <c r="L164" t="s">
        <v>30</v>
      </c>
      <c r="M164">
        <v>0</v>
      </c>
    </row>
    <row r="165" spans="1:13" x14ac:dyDescent="0.2">
      <c r="A165">
        <v>164</v>
      </c>
      <c r="B165" t="s">
        <v>88</v>
      </c>
      <c r="C165" s="2">
        <v>45044</v>
      </c>
      <c r="D165" t="s">
        <v>89</v>
      </c>
      <c r="E165" t="s">
        <v>33</v>
      </c>
      <c r="F165" t="s">
        <v>44</v>
      </c>
      <c r="H165">
        <v>1</v>
      </c>
      <c r="I165">
        <v>0.1</v>
      </c>
      <c r="J165">
        <v>178.2</v>
      </c>
      <c r="K165" t="s">
        <v>36</v>
      </c>
      <c r="L165" t="s">
        <v>23</v>
      </c>
      <c r="M165" t="b">
        <v>0</v>
      </c>
    </row>
    <row r="166" spans="1:13" x14ac:dyDescent="0.2">
      <c r="A166">
        <v>165</v>
      </c>
      <c r="B166" t="s">
        <v>24</v>
      </c>
      <c r="C166" s="1">
        <v>45582</v>
      </c>
      <c r="D166" t="s">
        <v>87</v>
      </c>
      <c r="E166" t="s">
        <v>39</v>
      </c>
      <c r="F166" t="s">
        <v>21</v>
      </c>
      <c r="G166" t="s">
        <v>22</v>
      </c>
      <c r="H166">
        <v>2</v>
      </c>
      <c r="I166">
        <v>0.2</v>
      </c>
      <c r="J166">
        <v>71.92</v>
      </c>
      <c r="K166" t="s">
        <v>18</v>
      </c>
      <c r="L166" t="s">
        <v>45</v>
      </c>
      <c r="M166" t="b">
        <v>1</v>
      </c>
    </row>
    <row r="167" spans="1:13" x14ac:dyDescent="0.2">
      <c r="A167">
        <v>166</v>
      </c>
      <c r="B167" t="s">
        <v>64</v>
      </c>
      <c r="C167" s="2">
        <v>45260</v>
      </c>
      <c r="D167" t="s">
        <v>65</v>
      </c>
      <c r="E167" t="s">
        <v>33</v>
      </c>
      <c r="F167" t="s">
        <v>34</v>
      </c>
      <c r="G167" t="s">
        <v>35</v>
      </c>
      <c r="H167">
        <v>1</v>
      </c>
      <c r="I167">
        <v>0</v>
      </c>
      <c r="J167">
        <v>74.95</v>
      </c>
      <c r="K167" t="s">
        <v>52</v>
      </c>
      <c r="L167" t="s">
        <v>45</v>
      </c>
      <c r="M167">
        <v>0</v>
      </c>
    </row>
    <row r="168" spans="1:13" x14ac:dyDescent="0.2">
      <c r="A168">
        <v>167</v>
      </c>
      <c r="B168" t="s">
        <v>68</v>
      </c>
      <c r="C168" s="2">
        <v>45531</v>
      </c>
      <c r="D168" t="s">
        <v>69</v>
      </c>
      <c r="E168" t="s">
        <v>33</v>
      </c>
      <c r="F168" t="s">
        <v>40</v>
      </c>
      <c r="G168" t="s">
        <v>17</v>
      </c>
      <c r="H168">
        <v>4</v>
      </c>
      <c r="I168">
        <v>0</v>
      </c>
      <c r="J168">
        <v>476</v>
      </c>
      <c r="K168" t="s">
        <v>80</v>
      </c>
      <c r="L168" t="s">
        <v>30</v>
      </c>
      <c r="M168" t="b">
        <v>0</v>
      </c>
    </row>
    <row r="169" spans="1:13" x14ac:dyDescent="0.2">
      <c r="A169">
        <v>168</v>
      </c>
      <c r="B169" t="s">
        <v>85</v>
      </c>
      <c r="C169" s="2">
        <v>45097</v>
      </c>
      <c r="D169" t="s">
        <v>86</v>
      </c>
      <c r="E169" t="s">
        <v>76</v>
      </c>
      <c r="F169" t="s">
        <v>21</v>
      </c>
      <c r="G169" t="s">
        <v>22</v>
      </c>
      <c r="H169">
        <v>2</v>
      </c>
      <c r="I169">
        <v>0.25</v>
      </c>
      <c r="J169">
        <v>134.93</v>
      </c>
      <c r="K169" t="s">
        <v>80</v>
      </c>
      <c r="L169" t="s">
        <v>45</v>
      </c>
      <c r="M169" t="s">
        <v>73</v>
      </c>
    </row>
    <row r="170" spans="1:13" x14ac:dyDescent="0.2">
      <c r="A170">
        <v>169</v>
      </c>
      <c r="B170" t="s">
        <v>56</v>
      </c>
      <c r="C170" s="2">
        <v>45430</v>
      </c>
      <c r="D170" t="s">
        <v>57</v>
      </c>
      <c r="E170" t="s">
        <v>48</v>
      </c>
      <c r="F170" t="s">
        <v>21</v>
      </c>
      <c r="G170" t="s">
        <v>22</v>
      </c>
      <c r="H170">
        <v>5</v>
      </c>
      <c r="I170">
        <v>0.25</v>
      </c>
      <c r="J170">
        <v>318.75</v>
      </c>
      <c r="K170" t="s">
        <v>36</v>
      </c>
      <c r="M170">
        <v>1</v>
      </c>
    </row>
    <row r="171" spans="1:13" x14ac:dyDescent="0.2">
      <c r="A171">
        <v>170</v>
      </c>
      <c r="B171" t="s">
        <v>31</v>
      </c>
      <c r="C171" s="2">
        <v>45043</v>
      </c>
      <c r="D171" t="s">
        <v>32</v>
      </c>
      <c r="E171" t="s">
        <v>33</v>
      </c>
      <c r="F171" t="s">
        <v>53</v>
      </c>
      <c r="G171" t="s">
        <v>54</v>
      </c>
      <c r="H171">
        <v>4</v>
      </c>
      <c r="I171">
        <v>0.25</v>
      </c>
      <c r="J171">
        <v>239.85</v>
      </c>
      <c r="K171" t="s">
        <v>80</v>
      </c>
      <c r="L171" t="s">
        <v>55</v>
      </c>
      <c r="M171" t="b">
        <v>0</v>
      </c>
    </row>
    <row r="172" spans="1:13" x14ac:dyDescent="0.2">
      <c r="A172">
        <v>171</v>
      </c>
      <c r="B172" t="s">
        <v>19</v>
      </c>
      <c r="C172" s="2">
        <v>45283</v>
      </c>
      <c r="D172" t="s">
        <v>20</v>
      </c>
      <c r="E172" t="s">
        <v>15</v>
      </c>
      <c r="F172" t="s">
        <v>16</v>
      </c>
      <c r="G172" t="s">
        <v>17</v>
      </c>
      <c r="H172">
        <v>3</v>
      </c>
      <c r="I172">
        <v>0</v>
      </c>
      <c r="J172">
        <v>269.85000000000002</v>
      </c>
      <c r="K172" t="s">
        <v>52</v>
      </c>
      <c r="L172" t="s">
        <v>41</v>
      </c>
      <c r="M172" t="b">
        <v>1</v>
      </c>
    </row>
    <row r="173" spans="1:13" x14ac:dyDescent="0.2">
      <c r="A173">
        <v>172</v>
      </c>
      <c r="B173" t="s">
        <v>31</v>
      </c>
      <c r="C173" s="1">
        <v>44987</v>
      </c>
      <c r="D173" t="s">
        <v>32</v>
      </c>
      <c r="E173" t="s">
        <v>33</v>
      </c>
      <c r="F173" t="s">
        <v>21</v>
      </c>
      <c r="G173" t="s">
        <v>22</v>
      </c>
      <c r="H173">
        <v>5</v>
      </c>
      <c r="I173">
        <v>0</v>
      </c>
      <c r="J173">
        <v>399.75</v>
      </c>
      <c r="K173" t="s">
        <v>18</v>
      </c>
      <c r="L173" t="s">
        <v>63</v>
      </c>
      <c r="M173" t="b">
        <v>0</v>
      </c>
    </row>
    <row r="174" spans="1:13" x14ac:dyDescent="0.2">
      <c r="A174">
        <v>173</v>
      </c>
      <c r="B174" t="s">
        <v>61</v>
      </c>
      <c r="C174" s="1">
        <v>45056</v>
      </c>
      <c r="D174" t="s">
        <v>62</v>
      </c>
      <c r="E174" t="s">
        <v>33</v>
      </c>
      <c r="F174" t="s">
        <v>16</v>
      </c>
      <c r="G174" t="s">
        <v>17</v>
      </c>
      <c r="H174">
        <v>4</v>
      </c>
      <c r="I174">
        <v>0</v>
      </c>
      <c r="J174">
        <v>139.96</v>
      </c>
      <c r="K174" t="s">
        <v>36</v>
      </c>
      <c r="L174" t="s">
        <v>30</v>
      </c>
      <c r="M174">
        <v>0</v>
      </c>
    </row>
    <row r="175" spans="1:13" x14ac:dyDescent="0.2">
      <c r="A175">
        <v>174</v>
      </c>
      <c r="B175" t="s">
        <v>85</v>
      </c>
      <c r="C175" s="2">
        <v>45022</v>
      </c>
      <c r="D175" t="s">
        <v>86</v>
      </c>
      <c r="E175" t="s">
        <v>76</v>
      </c>
      <c r="F175" t="s">
        <v>53</v>
      </c>
      <c r="G175" t="s">
        <v>54</v>
      </c>
      <c r="H175">
        <v>4</v>
      </c>
      <c r="I175">
        <v>0.25</v>
      </c>
      <c r="J175">
        <v>269.85000000000002</v>
      </c>
      <c r="K175" t="s">
        <v>36</v>
      </c>
      <c r="M175" t="s">
        <v>73</v>
      </c>
    </row>
    <row r="176" spans="1:13" x14ac:dyDescent="0.2">
      <c r="A176">
        <v>175</v>
      </c>
      <c r="B176" t="s">
        <v>24</v>
      </c>
      <c r="C176" s="2">
        <v>45366</v>
      </c>
      <c r="D176" t="s">
        <v>87</v>
      </c>
      <c r="E176" t="s">
        <v>39</v>
      </c>
      <c r="F176" t="s">
        <v>16</v>
      </c>
      <c r="G176" t="s">
        <v>17</v>
      </c>
      <c r="H176">
        <v>3</v>
      </c>
      <c r="I176">
        <v>0</v>
      </c>
      <c r="J176">
        <v>134.85</v>
      </c>
      <c r="K176" t="s">
        <v>18</v>
      </c>
      <c r="L176" t="s">
        <v>28</v>
      </c>
      <c r="M176" t="b">
        <v>1</v>
      </c>
    </row>
    <row r="177" spans="1:13" x14ac:dyDescent="0.2">
      <c r="A177">
        <v>176</v>
      </c>
      <c r="B177" t="s">
        <v>58</v>
      </c>
      <c r="C177" s="2">
        <v>45088</v>
      </c>
      <c r="D177" t="s">
        <v>59</v>
      </c>
      <c r="E177" t="s">
        <v>15</v>
      </c>
      <c r="F177" t="s">
        <v>26</v>
      </c>
      <c r="G177" t="s">
        <v>22</v>
      </c>
      <c r="H177">
        <v>1</v>
      </c>
      <c r="I177">
        <v>0.25</v>
      </c>
      <c r="J177">
        <v>44.96</v>
      </c>
      <c r="K177" t="s">
        <v>27</v>
      </c>
      <c r="L177" t="s">
        <v>23</v>
      </c>
      <c r="M177">
        <v>1</v>
      </c>
    </row>
    <row r="178" spans="1:13" x14ac:dyDescent="0.2">
      <c r="A178">
        <v>177</v>
      </c>
      <c r="B178" t="s">
        <v>42</v>
      </c>
      <c r="C178" s="1">
        <v>45607</v>
      </c>
      <c r="D178" t="s">
        <v>43</v>
      </c>
      <c r="E178" t="s">
        <v>15</v>
      </c>
      <c r="F178" t="s">
        <v>53</v>
      </c>
      <c r="G178" t="s">
        <v>54</v>
      </c>
      <c r="H178">
        <v>3</v>
      </c>
      <c r="I178">
        <v>0.1</v>
      </c>
      <c r="J178">
        <v>348.3</v>
      </c>
      <c r="K178" t="s">
        <v>52</v>
      </c>
      <c r="L178" t="s">
        <v>55</v>
      </c>
      <c r="M178" t="b">
        <v>1</v>
      </c>
    </row>
    <row r="179" spans="1:13" x14ac:dyDescent="0.2">
      <c r="A179">
        <v>178</v>
      </c>
      <c r="B179" t="s">
        <v>81</v>
      </c>
      <c r="C179" s="2">
        <v>45639</v>
      </c>
      <c r="D179" t="s">
        <v>82</v>
      </c>
      <c r="E179" t="s">
        <v>15</v>
      </c>
      <c r="F179" t="s">
        <v>66</v>
      </c>
      <c r="G179" t="s">
        <v>67</v>
      </c>
      <c r="H179">
        <v>2</v>
      </c>
      <c r="I179">
        <v>0.25</v>
      </c>
      <c r="J179">
        <v>119.93</v>
      </c>
      <c r="K179" t="s">
        <v>27</v>
      </c>
      <c r="L179" t="s">
        <v>23</v>
      </c>
      <c r="M179" t="s">
        <v>73</v>
      </c>
    </row>
    <row r="180" spans="1:13" x14ac:dyDescent="0.2">
      <c r="A180">
        <v>179</v>
      </c>
      <c r="B180" t="s">
        <v>68</v>
      </c>
      <c r="C180" s="1">
        <v>45583</v>
      </c>
      <c r="D180" t="s">
        <v>69</v>
      </c>
      <c r="E180" t="s">
        <v>33</v>
      </c>
      <c r="F180" t="s">
        <v>40</v>
      </c>
      <c r="G180" t="s">
        <v>17</v>
      </c>
      <c r="H180">
        <v>3</v>
      </c>
      <c r="I180">
        <v>0</v>
      </c>
      <c r="J180">
        <v>357</v>
      </c>
      <c r="K180" t="s">
        <v>18</v>
      </c>
      <c r="L180" t="s">
        <v>28</v>
      </c>
      <c r="M180" t="b">
        <v>0</v>
      </c>
    </row>
    <row r="181" spans="1:13" x14ac:dyDescent="0.2">
      <c r="A181">
        <v>180</v>
      </c>
      <c r="B181" t="s">
        <v>71</v>
      </c>
      <c r="C181" s="2">
        <v>45070</v>
      </c>
      <c r="D181" t="s">
        <v>72</v>
      </c>
      <c r="E181" t="s">
        <v>33</v>
      </c>
      <c r="F181" t="s">
        <v>21</v>
      </c>
      <c r="G181" t="s">
        <v>22</v>
      </c>
      <c r="H181">
        <v>4</v>
      </c>
      <c r="I181">
        <v>0.05</v>
      </c>
      <c r="J181">
        <v>227.81</v>
      </c>
      <c r="K181" t="s">
        <v>27</v>
      </c>
      <c r="L181" t="s">
        <v>55</v>
      </c>
      <c r="M181" t="s">
        <v>73</v>
      </c>
    </row>
    <row r="182" spans="1:13" x14ac:dyDescent="0.2">
      <c r="A182">
        <v>181</v>
      </c>
      <c r="B182" t="s">
        <v>13</v>
      </c>
      <c r="C182" s="2">
        <v>45328</v>
      </c>
      <c r="D182" t="s">
        <v>14</v>
      </c>
      <c r="E182" t="s">
        <v>15</v>
      </c>
      <c r="F182" t="s">
        <v>53</v>
      </c>
      <c r="G182" t="s">
        <v>54</v>
      </c>
      <c r="H182">
        <v>3</v>
      </c>
      <c r="I182">
        <v>0.05</v>
      </c>
      <c r="J182">
        <v>56.97</v>
      </c>
      <c r="K182" t="s">
        <v>36</v>
      </c>
      <c r="L182" t="s">
        <v>63</v>
      </c>
      <c r="M182">
        <v>0</v>
      </c>
    </row>
    <row r="183" spans="1:13" x14ac:dyDescent="0.2">
      <c r="A183">
        <v>182</v>
      </c>
      <c r="B183" t="s">
        <v>68</v>
      </c>
      <c r="C183" s="2">
        <v>45357</v>
      </c>
      <c r="D183" t="s">
        <v>69</v>
      </c>
      <c r="E183" t="s">
        <v>33</v>
      </c>
      <c r="F183" t="s">
        <v>26</v>
      </c>
      <c r="G183" t="s">
        <v>22</v>
      </c>
      <c r="H183">
        <v>3</v>
      </c>
      <c r="I183">
        <v>0</v>
      </c>
      <c r="J183">
        <v>357</v>
      </c>
      <c r="K183" t="s">
        <v>80</v>
      </c>
      <c r="M183" t="b">
        <v>0</v>
      </c>
    </row>
    <row r="184" spans="1:13" x14ac:dyDescent="0.2">
      <c r="A184">
        <v>183</v>
      </c>
      <c r="B184" t="s">
        <v>74</v>
      </c>
      <c r="C184" s="2">
        <v>45645</v>
      </c>
      <c r="D184" t="s">
        <v>75</v>
      </c>
      <c r="E184" t="s">
        <v>76</v>
      </c>
      <c r="F184" t="s">
        <v>26</v>
      </c>
      <c r="G184" t="s">
        <v>22</v>
      </c>
      <c r="H184">
        <v>5</v>
      </c>
      <c r="I184">
        <v>0.1</v>
      </c>
      <c r="J184">
        <v>202.28</v>
      </c>
      <c r="K184" t="s">
        <v>29</v>
      </c>
      <c r="L184" t="s">
        <v>28</v>
      </c>
      <c r="M184" t="s">
        <v>77</v>
      </c>
    </row>
    <row r="185" spans="1:13" x14ac:dyDescent="0.2">
      <c r="A185">
        <v>184</v>
      </c>
      <c r="B185" t="s">
        <v>74</v>
      </c>
      <c r="C185" s="1">
        <v>45374</v>
      </c>
      <c r="D185" t="s">
        <v>75</v>
      </c>
      <c r="E185" t="s">
        <v>76</v>
      </c>
      <c r="F185" t="s">
        <v>40</v>
      </c>
      <c r="G185" t="s">
        <v>17</v>
      </c>
      <c r="H185">
        <v>5</v>
      </c>
      <c r="I185">
        <v>0</v>
      </c>
      <c r="J185">
        <v>224.75</v>
      </c>
      <c r="K185" t="s">
        <v>36</v>
      </c>
      <c r="M185" t="s">
        <v>77</v>
      </c>
    </row>
    <row r="186" spans="1:13" x14ac:dyDescent="0.2">
      <c r="A186">
        <v>185</v>
      </c>
      <c r="B186" t="s">
        <v>46</v>
      </c>
      <c r="C186" s="2">
        <v>45435</v>
      </c>
      <c r="D186" t="s">
        <v>47</v>
      </c>
      <c r="E186" t="s">
        <v>48</v>
      </c>
      <c r="F186" t="s">
        <v>66</v>
      </c>
      <c r="G186" t="s">
        <v>67</v>
      </c>
      <c r="H186">
        <v>1</v>
      </c>
      <c r="I186">
        <v>0</v>
      </c>
      <c r="J186">
        <v>49.95</v>
      </c>
      <c r="K186" t="s">
        <v>18</v>
      </c>
      <c r="L186" t="s">
        <v>23</v>
      </c>
      <c r="M186">
        <v>0</v>
      </c>
    </row>
    <row r="187" spans="1:13" x14ac:dyDescent="0.2">
      <c r="A187">
        <v>186</v>
      </c>
      <c r="B187" t="s">
        <v>88</v>
      </c>
      <c r="C187" s="1">
        <v>45656</v>
      </c>
      <c r="D187" t="s">
        <v>89</v>
      </c>
      <c r="E187" t="s">
        <v>33</v>
      </c>
      <c r="F187" t="s">
        <v>26</v>
      </c>
      <c r="G187" t="s">
        <v>22</v>
      </c>
      <c r="H187">
        <v>4</v>
      </c>
      <c r="J187">
        <v>792</v>
      </c>
      <c r="K187" t="s">
        <v>52</v>
      </c>
      <c r="L187" t="s">
        <v>55</v>
      </c>
      <c r="M187" t="b">
        <v>0</v>
      </c>
    </row>
    <row r="188" spans="1:13" x14ac:dyDescent="0.2">
      <c r="A188">
        <v>187</v>
      </c>
      <c r="B188" t="s">
        <v>19</v>
      </c>
      <c r="C188" s="2">
        <v>45177</v>
      </c>
      <c r="D188" t="s">
        <v>20</v>
      </c>
      <c r="E188" t="s">
        <v>15</v>
      </c>
      <c r="F188" t="s">
        <v>16</v>
      </c>
      <c r="G188" t="s">
        <v>17</v>
      </c>
      <c r="H188">
        <v>5</v>
      </c>
      <c r="I188">
        <v>0</v>
      </c>
      <c r="J188">
        <v>449.75</v>
      </c>
      <c r="K188" t="s">
        <v>27</v>
      </c>
      <c r="L188" t="s">
        <v>23</v>
      </c>
      <c r="M188" t="b">
        <v>1</v>
      </c>
    </row>
    <row r="189" spans="1:13" x14ac:dyDescent="0.2">
      <c r="A189">
        <v>188</v>
      </c>
      <c r="B189" t="s">
        <v>19</v>
      </c>
      <c r="C189" s="2">
        <v>45254</v>
      </c>
      <c r="D189" t="s">
        <v>20</v>
      </c>
      <c r="E189" t="s">
        <v>15</v>
      </c>
      <c r="F189" t="s">
        <v>21</v>
      </c>
      <c r="G189" t="s">
        <v>22</v>
      </c>
      <c r="H189">
        <v>3</v>
      </c>
      <c r="I189">
        <v>0.05</v>
      </c>
      <c r="J189">
        <v>256.36</v>
      </c>
      <c r="K189" t="s">
        <v>36</v>
      </c>
      <c r="L189" t="s">
        <v>28</v>
      </c>
      <c r="M189" t="b">
        <v>1</v>
      </c>
    </row>
    <row r="190" spans="1:13" x14ac:dyDescent="0.2">
      <c r="A190">
        <v>189</v>
      </c>
      <c r="B190" t="s">
        <v>42</v>
      </c>
      <c r="C190" s="1">
        <v>45015</v>
      </c>
      <c r="D190" t="s">
        <v>43</v>
      </c>
      <c r="E190" t="s">
        <v>15</v>
      </c>
      <c r="F190" t="s">
        <v>21</v>
      </c>
      <c r="G190" t="s">
        <v>22</v>
      </c>
      <c r="H190">
        <v>4</v>
      </c>
      <c r="I190">
        <v>0.1</v>
      </c>
      <c r="J190">
        <v>464.4</v>
      </c>
      <c r="K190" t="s">
        <v>52</v>
      </c>
      <c r="L190" t="s">
        <v>30</v>
      </c>
      <c r="M190" t="b">
        <v>1</v>
      </c>
    </row>
    <row r="191" spans="1:13" x14ac:dyDescent="0.2">
      <c r="A191">
        <v>190</v>
      </c>
      <c r="B191" t="s">
        <v>56</v>
      </c>
      <c r="C191" s="2">
        <v>44951</v>
      </c>
      <c r="D191" t="s">
        <v>57</v>
      </c>
      <c r="E191" t="s">
        <v>48</v>
      </c>
      <c r="F191" t="s">
        <v>34</v>
      </c>
      <c r="G191" t="s">
        <v>35</v>
      </c>
      <c r="H191">
        <v>2</v>
      </c>
      <c r="I191" t="s">
        <v>70</v>
      </c>
      <c r="J191">
        <v>170</v>
      </c>
      <c r="K191" t="s">
        <v>29</v>
      </c>
      <c r="L191" t="s">
        <v>23</v>
      </c>
      <c r="M191">
        <v>1</v>
      </c>
    </row>
    <row r="192" spans="1:13" x14ac:dyDescent="0.2">
      <c r="A192">
        <v>191</v>
      </c>
      <c r="B192" t="s">
        <v>37</v>
      </c>
      <c r="C192" s="2">
        <v>44988</v>
      </c>
      <c r="D192" t="s">
        <v>38</v>
      </c>
      <c r="E192" t="s">
        <v>39</v>
      </c>
      <c r="F192" t="s">
        <v>16</v>
      </c>
      <c r="G192" t="s">
        <v>17</v>
      </c>
      <c r="H192">
        <v>5</v>
      </c>
      <c r="I192">
        <v>0.05</v>
      </c>
      <c r="J192">
        <v>308.51</v>
      </c>
      <c r="K192" t="s">
        <v>29</v>
      </c>
      <c r="L192" t="s">
        <v>28</v>
      </c>
      <c r="M192">
        <v>1</v>
      </c>
    </row>
    <row r="193" spans="1:13" x14ac:dyDescent="0.2">
      <c r="A193">
        <v>192</v>
      </c>
      <c r="B193" t="s">
        <v>81</v>
      </c>
      <c r="C193" s="1">
        <v>45533</v>
      </c>
      <c r="D193" t="s">
        <v>82</v>
      </c>
      <c r="E193" t="s">
        <v>15</v>
      </c>
      <c r="F193" t="s">
        <v>16</v>
      </c>
      <c r="G193" t="s">
        <v>17</v>
      </c>
      <c r="H193">
        <v>1</v>
      </c>
      <c r="I193">
        <v>0</v>
      </c>
      <c r="J193">
        <v>79.95</v>
      </c>
      <c r="K193" t="s">
        <v>27</v>
      </c>
      <c r="L193" t="s">
        <v>28</v>
      </c>
      <c r="M193" t="s">
        <v>73</v>
      </c>
    </row>
    <row r="194" spans="1:13" x14ac:dyDescent="0.2">
      <c r="A194">
        <v>193</v>
      </c>
      <c r="B194" t="s">
        <v>88</v>
      </c>
      <c r="C194" s="2">
        <v>45134</v>
      </c>
      <c r="D194" t="s">
        <v>89</v>
      </c>
      <c r="E194" t="s">
        <v>33</v>
      </c>
      <c r="F194" t="s">
        <v>40</v>
      </c>
      <c r="G194" t="s">
        <v>17</v>
      </c>
      <c r="H194">
        <v>4</v>
      </c>
      <c r="I194">
        <v>0.1</v>
      </c>
      <c r="J194">
        <v>712.8</v>
      </c>
      <c r="K194" t="s">
        <v>27</v>
      </c>
      <c r="L194" t="s">
        <v>63</v>
      </c>
      <c r="M194" t="b">
        <v>0</v>
      </c>
    </row>
    <row r="195" spans="1:13" x14ac:dyDescent="0.2">
      <c r="A195">
        <v>194</v>
      </c>
      <c r="B195" t="s">
        <v>24</v>
      </c>
      <c r="C195" s="2">
        <v>45019</v>
      </c>
      <c r="D195" t="s">
        <v>87</v>
      </c>
      <c r="E195" t="s">
        <v>39</v>
      </c>
      <c r="F195" t="s">
        <v>34</v>
      </c>
      <c r="G195" t="s">
        <v>35</v>
      </c>
      <c r="H195">
        <v>3</v>
      </c>
      <c r="I195">
        <v>0.25</v>
      </c>
      <c r="J195">
        <v>101.14</v>
      </c>
      <c r="K195" t="s">
        <v>27</v>
      </c>
      <c r="L195" t="s">
        <v>30</v>
      </c>
      <c r="M195" t="b">
        <v>1</v>
      </c>
    </row>
    <row r="196" spans="1:13" x14ac:dyDescent="0.2">
      <c r="A196">
        <v>195</v>
      </c>
      <c r="B196" t="s">
        <v>74</v>
      </c>
      <c r="C196" s="2">
        <v>45105</v>
      </c>
      <c r="D196" t="s">
        <v>75</v>
      </c>
      <c r="E196" t="s">
        <v>76</v>
      </c>
      <c r="F196" t="s">
        <v>40</v>
      </c>
      <c r="G196" t="s">
        <v>17</v>
      </c>
      <c r="H196">
        <v>5</v>
      </c>
      <c r="I196">
        <v>0</v>
      </c>
      <c r="J196">
        <v>224.75</v>
      </c>
      <c r="K196" t="s">
        <v>52</v>
      </c>
      <c r="L196" t="s">
        <v>30</v>
      </c>
      <c r="M196" t="s">
        <v>77</v>
      </c>
    </row>
    <row r="197" spans="1:13" x14ac:dyDescent="0.2">
      <c r="A197">
        <v>196</v>
      </c>
      <c r="B197" t="s">
        <v>19</v>
      </c>
      <c r="C197" s="1">
        <v>45629</v>
      </c>
      <c r="D197" t="s">
        <v>25</v>
      </c>
      <c r="E197" t="s">
        <v>25</v>
      </c>
      <c r="F197" t="s">
        <v>26</v>
      </c>
      <c r="G197" t="s">
        <v>22</v>
      </c>
      <c r="H197">
        <v>2</v>
      </c>
      <c r="I197">
        <v>0.05</v>
      </c>
      <c r="J197">
        <v>170.9</v>
      </c>
      <c r="K197" t="s">
        <v>52</v>
      </c>
      <c r="L197" t="s">
        <v>28</v>
      </c>
      <c r="M197" t="s">
        <v>25</v>
      </c>
    </row>
    <row r="198" spans="1:13" x14ac:dyDescent="0.2">
      <c r="A198">
        <v>197</v>
      </c>
      <c r="B198" t="s">
        <v>61</v>
      </c>
      <c r="C198" s="2">
        <v>45399</v>
      </c>
      <c r="D198" t="s">
        <v>62</v>
      </c>
      <c r="E198" t="s">
        <v>33</v>
      </c>
      <c r="F198" t="s">
        <v>44</v>
      </c>
      <c r="H198">
        <v>1</v>
      </c>
      <c r="I198">
        <v>0.15</v>
      </c>
      <c r="J198">
        <v>29.74</v>
      </c>
      <c r="K198" t="s">
        <v>27</v>
      </c>
      <c r="L198" t="s">
        <v>55</v>
      </c>
      <c r="M198">
        <v>0</v>
      </c>
    </row>
    <row r="199" spans="1:13" x14ac:dyDescent="0.2">
      <c r="A199">
        <v>198</v>
      </c>
      <c r="B199" t="s">
        <v>64</v>
      </c>
      <c r="C199" s="1">
        <v>45555</v>
      </c>
      <c r="D199" t="s">
        <v>65</v>
      </c>
      <c r="E199" t="s">
        <v>33</v>
      </c>
      <c r="F199" t="s">
        <v>66</v>
      </c>
      <c r="G199" t="s">
        <v>67</v>
      </c>
      <c r="H199">
        <v>3</v>
      </c>
      <c r="I199">
        <v>0.25</v>
      </c>
      <c r="J199">
        <v>168.64</v>
      </c>
      <c r="K199" t="s">
        <v>27</v>
      </c>
      <c r="L199" t="s">
        <v>45</v>
      </c>
      <c r="M199">
        <v>0</v>
      </c>
    </row>
    <row r="200" spans="1:13" x14ac:dyDescent="0.2">
      <c r="A200">
        <v>199</v>
      </c>
      <c r="B200" t="s">
        <v>56</v>
      </c>
      <c r="C200" s="2">
        <v>45484</v>
      </c>
      <c r="D200" t="s">
        <v>57</v>
      </c>
      <c r="E200" t="s">
        <v>48</v>
      </c>
      <c r="F200" t="s">
        <v>34</v>
      </c>
      <c r="G200" t="s">
        <v>35</v>
      </c>
      <c r="H200">
        <v>1</v>
      </c>
      <c r="I200">
        <v>0.2</v>
      </c>
      <c r="J200">
        <v>68</v>
      </c>
      <c r="K200" t="s">
        <v>29</v>
      </c>
      <c r="M200">
        <v>1</v>
      </c>
    </row>
    <row r="201" spans="1:13" x14ac:dyDescent="0.2">
      <c r="A201">
        <v>200</v>
      </c>
      <c r="B201" t="s">
        <v>58</v>
      </c>
      <c r="C201" s="2">
        <v>45029</v>
      </c>
      <c r="D201" t="s">
        <v>59</v>
      </c>
      <c r="E201" t="s">
        <v>15</v>
      </c>
      <c r="F201" t="s">
        <v>53</v>
      </c>
      <c r="G201" t="s">
        <v>54</v>
      </c>
      <c r="H201">
        <v>4</v>
      </c>
      <c r="I201">
        <v>0.15</v>
      </c>
      <c r="J201">
        <v>203.83</v>
      </c>
      <c r="K201" t="s">
        <v>18</v>
      </c>
      <c r="L201" t="s">
        <v>63</v>
      </c>
      <c r="M201">
        <v>1</v>
      </c>
    </row>
    <row r="202" spans="1:13" x14ac:dyDescent="0.2">
      <c r="A202">
        <v>201</v>
      </c>
      <c r="B202" t="s">
        <v>68</v>
      </c>
      <c r="C202" s="1">
        <v>45252</v>
      </c>
      <c r="D202" t="s">
        <v>69</v>
      </c>
      <c r="E202" t="s">
        <v>33</v>
      </c>
      <c r="F202" t="s">
        <v>21</v>
      </c>
      <c r="G202" t="s">
        <v>22</v>
      </c>
      <c r="H202">
        <v>2</v>
      </c>
      <c r="I202">
        <v>0</v>
      </c>
      <c r="J202">
        <v>238</v>
      </c>
      <c r="K202" t="s">
        <v>80</v>
      </c>
      <c r="L202" t="s">
        <v>63</v>
      </c>
      <c r="M202" t="b">
        <v>0</v>
      </c>
    </row>
    <row r="203" spans="1:13" x14ac:dyDescent="0.2">
      <c r="A203">
        <v>202</v>
      </c>
      <c r="B203" t="s">
        <v>56</v>
      </c>
      <c r="C203" s="2">
        <v>45019</v>
      </c>
      <c r="D203" t="s">
        <v>57</v>
      </c>
      <c r="E203" t="s">
        <v>48</v>
      </c>
      <c r="F203" t="s">
        <v>44</v>
      </c>
      <c r="H203">
        <v>3</v>
      </c>
      <c r="J203">
        <v>255</v>
      </c>
      <c r="K203" t="s">
        <v>27</v>
      </c>
      <c r="L203" t="s">
        <v>41</v>
      </c>
      <c r="M203">
        <v>1</v>
      </c>
    </row>
    <row r="204" spans="1:13" x14ac:dyDescent="0.2">
      <c r="A204">
        <v>203</v>
      </c>
      <c r="B204" t="s">
        <v>58</v>
      </c>
      <c r="C204" s="2">
        <v>45465</v>
      </c>
      <c r="D204" t="s">
        <v>59</v>
      </c>
      <c r="E204" t="s">
        <v>15</v>
      </c>
      <c r="F204" t="s">
        <v>40</v>
      </c>
      <c r="G204" t="s">
        <v>17</v>
      </c>
      <c r="H204">
        <v>1</v>
      </c>
      <c r="I204">
        <v>0</v>
      </c>
      <c r="J204">
        <v>59.95</v>
      </c>
      <c r="K204" t="s">
        <v>27</v>
      </c>
      <c r="L204" t="s">
        <v>45</v>
      </c>
      <c r="M204">
        <v>1</v>
      </c>
    </row>
    <row r="205" spans="1:13" x14ac:dyDescent="0.2">
      <c r="A205">
        <v>204</v>
      </c>
      <c r="B205" t="s">
        <v>83</v>
      </c>
      <c r="C205" s="1">
        <v>45608</v>
      </c>
      <c r="D205" t="s">
        <v>25</v>
      </c>
      <c r="E205" t="s">
        <v>25</v>
      </c>
      <c r="F205" t="s">
        <v>21</v>
      </c>
      <c r="G205" t="s">
        <v>22</v>
      </c>
      <c r="H205">
        <v>3</v>
      </c>
      <c r="I205">
        <v>0</v>
      </c>
      <c r="J205">
        <v>149.85</v>
      </c>
      <c r="K205" t="s">
        <v>18</v>
      </c>
      <c r="L205" t="s">
        <v>49</v>
      </c>
      <c r="M205" t="s">
        <v>25</v>
      </c>
    </row>
    <row r="206" spans="1:13" x14ac:dyDescent="0.2">
      <c r="A206">
        <v>205</v>
      </c>
      <c r="B206" t="s">
        <v>31</v>
      </c>
      <c r="C206" s="2">
        <v>45506</v>
      </c>
      <c r="D206" t="s">
        <v>32</v>
      </c>
      <c r="E206" t="s">
        <v>33</v>
      </c>
      <c r="F206" t="s">
        <v>26</v>
      </c>
      <c r="G206" t="s">
        <v>22</v>
      </c>
      <c r="H206">
        <v>5</v>
      </c>
      <c r="I206">
        <v>0.15</v>
      </c>
      <c r="J206">
        <v>339.79</v>
      </c>
      <c r="K206" t="s">
        <v>36</v>
      </c>
      <c r="L206" t="s">
        <v>63</v>
      </c>
      <c r="M206" t="b">
        <v>0</v>
      </c>
    </row>
    <row r="207" spans="1:13" x14ac:dyDescent="0.2">
      <c r="A207">
        <v>206</v>
      </c>
      <c r="B207" t="s">
        <v>88</v>
      </c>
      <c r="C207" s="1">
        <v>45182</v>
      </c>
      <c r="D207" t="s">
        <v>89</v>
      </c>
      <c r="E207" t="s">
        <v>33</v>
      </c>
      <c r="F207" t="s">
        <v>16</v>
      </c>
      <c r="G207" t="s">
        <v>17</v>
      </c>
      <c r="H207">
        <v>4</v>
      </c>
      <c r="I207" t="s">
        <v>60</v>
      </c>
      <c r="J207">
        <v>792</v>
      </c>
      <c r="K207" t="s">
        <v>18</v>
      </c>
      <c r="L207" t="s">
        <v>30</v>
      </c>
      <c r="M207" t="b">
        <v>0</v>
      </c>
    </row>
    <row r="208" spans="1:13" x14ac:dyDescent="0.2">
      <c r="A208">
        <v>207</v>
      </c>
      <c r="B208" t="s">
        <v>68</v>
      </c>
      <c r="C208" s="1">
        <v>45518</v>
      </c>
      <c r="D208" t="s">
        <v>25</v>
      </c>
      <c r="E208" t="s">
        <v>25</v>
      </c>
      <c r="F208" t="s">
        <v>21</v>
      </c>
      <c r="G208" t="s">
        <v>22</v>
      </c>
      <c r="H208">
        <v>5</v>
      </c>
      <c r="I208">
        <v>0.2</v>
      </c>
      <c r="J208">
        <v>476</v>
      </c>
      <c r="K208" t="s">
        <v>29</v>
      </c>
      <c r="L208" t="s">
        <v>55</v>
      </c>
      <c r="M208" t="s">
        <v>25</v>
      </c>
    </row>
    <row r="209" spans="1:13" x14ac:dyDescent="0.2">
      <c r="A209">
        <v>208</v>
      </c>
      <c r="B209" t="s">
        <v>31</v>
      </c>
      <c r="C209" s="2">
        <v>45022</v>
      </c>
      <c r="D209" t="s">
        <v>32</v>
      </c>
      <c r="E209" t="s">
        <v>33</v>
      </c>
      <c r="F209" t="s">
        <v>40</v>
      </c>
      <c r="G209" t="s">
        <v>17</v>
      </c>
      <c r="H209">
        <v>4</v>
      </c>
      <c r="J209">
        <v>319.8</v>
      </c>
      <c r="K209" t="s">
        <v>80</v>
      </c>
      <c r="M209" t="b">
        <v>0</v>
      </c>
    </row>
    <row r="210" spans="1:13" x14ac:dyDescent="0.2">
      <c r="A210">
        <v>209</v>
      </c>
      <c r="B210" t="s">
        <v>85</v>
      </c>
      <c r="C210" s="2">
        <v>45170</v>
      </c>
      <c r="D210" t="s">
        <v>86</v>
      </c>
      <c r="E210" t="s">
        <v>76</v>
      </c>
      <c r="G210" t="s">
        <v>25</v>
      </c>
      <c r="H210">
        <v>5</v>
      </c>
      <c r="I210">
        <v>0.1</v>
      </c>
      <c r="J210">
        <v>404.78</v>
      </c>
      <c r="K210" t="s">
        <v>52</v>
      </c>
      <c r="L210" t="s">
        <v>30</v>
      </c>
      <c r="M210" t="s">
        <v>73</v>
      </c>
    </row>
    <row r="211" spans="1:13" x14ac:dyDescent="0.2">
      <c r="A211">
        <v>210</v>
      </c>
      <c r="B211" t="s">
        <v>37</v>
      </c>
      <c r="C211" s="2">
        <v>45580</v>
      </c>
      <c r="D211" t="s">
        <v>38</v>
      </c>
      <c r="E211" t="s">
        <v>39</v>
      </c>
      <c r="F211" t="s">
        <v>44</v>
      </c>
      <c r="H211">
        <v>1</v>
      </c>
      <c r="I211">
        <v>0</v>
      </c>
      <c r="J211">
        <v>64.95</v>
      </c>
      <c r="K211" t="s">
        <v>18</v>
      </c>
      <c r="L211" t="s">
        <v>63</v>
      </c>
      <c r="M211">
        <v>1</v>
      </c>
    </row>
    <row r="212" spans="1:13" x14ac:dyDescent="0.2">
      <c r="A212">
        <v>211</v>
      </c>
      <c r="B212" t="s">
        <v>31</v>
      </c>
      <c r="C212" s="2">
        <v>45383</v>
      </c>
      <c r="D212" t="s">
        <v>32</v>
      </c>
      <c r="E212" t="s">
        <v>33</v>
      </c>
      <c r="F212" t="s">
        <v>21</v>
      </c>
      <c r="G212" t="s">
        <v>22</v>
      </c>
      <c r="H212">
        <v>3</v>
      </c>
      <c r="I212">
        <v>0.2</v>
      </c>
      <c r="J212">
        <v>191.88</v>
      </c>
      <c r="K212" t="s">
        <v>18</v>
      </c>
      <c r="L212" t="s">
        <v>49</v>
      </c>
      <c r="M212" t="b">
        <v>0</v>
      </c>
    </row>
    <row r="213" spans="1:13" x14ac:dyDescent="0.2">
      <c r="A213">
        <v>212</v>
      </c>
      <c r="B213" t="s">
        <v>56</v>
      </c>
      <c r="C213" s="2">
        <v>45462</v>
      </c>
      <c r="D213" t="s">
        <v>57</v>
      </c>
      <c r="E213" t="s">
        <v>48</v>
      </c>
      <c r="F213" t="s">
        <v>40</v>
      </c>
      <c r="G213" t="s">
        <v>17</v>
      </c>
      <c r="H213">
        <v>4</v>
      </c>
      <c r="I213">
        <v>0.05</v>
      </c>
      <c r="J213">
        <v>323</v>
      </c>
      <c r="K213" t="s">
        <v>29</v>
      </c>
      <c r="L213" t="s">
        <v>23</v>
      </c>
      <c r="M213">
        <v>1</v>
      </c>
    </row>
    <row r="214" spans="1:13" x14ac:dyDescent="0.2">
      <c r="A214">
        <v>213</v>
      </c>
      <c r="B214" t="s">
        <v>78</v>
      </c>
      <c r="C214" s="2">
        <v>45104</v>
      </c>
      <c r="D214" t="s">
        <v>79</v>
      </c>
      <c r="E214" t="s">
        <v>48</v>
      </c>
      <c r="F214" t="s">
        <v>26</v>
      </c>
      <c r="G214" t="s">
        <v>22</v>
      </c>
      <c r="H214">
        <v>5</v>
      </c>
      <c r="I214">
        <v>0</v>
      </c>
      <c r="J214">
        <v>199.75</v>
      </c>
      <c r="K214" t="s">
        <v>29</v>
      </c>
      <c r="L214" t="s">
        <v>55</v>
      </c>
      <c r="M214">
        <v>1</v>
      </c>
    </row>
    <row r="215" spans="1:13" x14ac:dyDescent="0.2">
      <c r="A215">
        <v>214</v>
      </c>
      <c r="B215" t="s">
        <v>88</v>
      </c>
      <c r="C215" s="1">
        <v>45333</v>
      </c>
      <c r="D215" t="s">
        <v>89</v>
      </c>
      <c r="E215" t="s">
        <v>33</v>
      </c>
      <c r="F215" t="s">
        <v>53</v>
      </c>
      <c r="G215" t="s">
        <v>54</v>
      </c>
      <c r="H215">
        <v>1</v>
      </c>
      <c r="I215">
        <v>0</v>
      </c>
      <c r="J215">
        <v>198</v>
      </c>
      <c r="K215" t="s">
        <v>80</v>
      </c>
      <c r="L215" t="s">
        <v>28</v>
      </c>
      <c r="M215" t="b">
        <v>0</v>
      </c>
    </row>
    <row r="216" spans="1:13" x14ac:dyDescent="0.2">
      <c r="A216">
        <v>215</v>
      </c>
      <c r="B216" t="s">
        <v>61</v>
      </c>
      <c r="C216" s="2">
        <v>45030</v>
      </c>
      <c r="D216" t="s">
        <v>62</v>
      </c>
      <c r="E216" t="s">
        <v>33</v>
      </c>
      <c r="F216" t="s">
        <v>21</v>
      </c>
      <c r="G216" t="s">
        <v>22</v>
      </c>
      <c r="H216">
        <v>2</v>
      </c>
      <c r="I216">
        <v>0</v>
      </c>
      <c r="J216">
        <v>69.98</v>
      </c>
      <c r="K216" t="s">
        <v>80</v>
      </c>
      <c r="L216" t="s">
        <v>55</v>
      </c>
      <c r="M216">
        <v>0</v>
      </c>
    </row>
    <row r="217" spans="1:13" x14ac:dyDescent="0.2">
      <c r="A217">
        <v>216</v>
      </c>
      <c r="B217" t="s">
        <v>61</v>
      </c>
      <c r="C217" s="1">
        <v>45266</v>
      </c>
      <c r="D217" t="s">
        <v>62</v>
      </c>
      <c r="E217" t="s">
        <v>33</v>
      </c>
      <c r="F217" t="s">
        <v>21</v>
      </c>
      <c r="G217" t="s">
        <v>22</v>
      </c>
      <c r="H217">
        <v>5</v>
      </c>
      <c r="I217">
        <v>0.2</v>
      </c>
      <c r="J217">
        <v>139.96</v>
      </c>
      <c r="K217" t="s">
        <v>29</v>
      </c>
      <c r="L217" t="s">
        <v>23</v>
      </c>
      <c r="M217">
        <v>0</v>
      </c>
    </row>
    <row r="218" spans="1:13" x14ac:dyDescent="0.2">
      <c r="A218">
        <v>217</v>
      </c>
      <c r="B218" t="s">
        <v>46</v>
      </c>
      <c r="C218" s="2">
        <v>45380</v>
      </c>
      <c r="D218" t="s">
        <v>47</v>
      </c>
      <c r="E218" t="s">
        <v>48</v>
      </c>
      <c r="F218" t="s">
        <v>44</v>
      </c>
      <c r="H218">
        <v>2</v>
      </c>
      <c r="I218">
        <v>0</v>
      </c>
      <c r="J218">
        <v>99.9</v>
      </c>
      <c r="K218" t="s">
        <v>36</v>
      </c>
      <c r="L218" t="s">
        <v>30</v>
      </c>
      <c r="M218">
        <v>0</v>
      </c>
    </row>
    <row r="219" spans="1:13" x14ac:dyDescent="0.2">
      <c r="A219">
        <v>218</v>
      </c>
      <c r="B219" t="s">
        <v>58</v>
      </c>
      <c r="C219" s="1">
        <v>45653</v>
      </c>
      <c r="D219" t="s">
        <v>59</v>
      </c>
      <c r="E219" t="s">
        <v>15</v>
      </c>
      <c r="F219" t="s">
        <v>40</v>
      </c>
      <c r="G219" t="s">
        <v>17</v>
      </c>
      <c r="H219">
        <v>5</v>
      </c>
      <c r="I219">
        <v>0</v>
      </c>
      <c r="J219">
        <v>299.75</v>
      </c>
      <c r="K219" t="s">
        <v>52</v>
      </c>
      <c r="L219" t="s">
        <v>55</v>
      </c>
      <c r="M219">
        <v>1</v>
      </c>
    </row>
    <row r="220" spans="1:13" x14ac:dyDescent="0.2">
      <c r="A220">
        <v>219</v>
      </c>
      <c r="B220" t="s">
        <v>24</v>
      </c>
      <c r="C220" s="2">
        <v>45304</v>
      </c>
      <c r="D220" t="s">
        <v>87</v>
      </c>
      <c r="E220" t="s">
        <v>39</v>
      </c>
      <c r="F220" t="s">
        <v>26</v>
      </c>
      <c r="G220" t="s">
        <v>22</v>
      </c>
      <c r="H220">
        <v>1</v>
      </c>
      <c r="I220" t="s">
        <v>70</v>
      </c>
      <c r="J220">
        <v>44.95</v>
      </c>
      <c r="K220" t="s">
        <v>52</v>
      </c>
      <c r="L220" t="s">
        <v>63</v>
      </c>
      <c r="M220" t="b">
        <v>1</v>
      </c>
    </row>
    <row r="221" spans="1:13" x14ac:dyDescent="0.2">
      <c r="A221">
        <v>220</v>
      </c>
      <c r="B221" t="s">
        <v>68</v>
      </c>
      <c r="C221" s="2">
        <v>44955</v>
      </c>
      <c r="D221" t="s">
        <v>69</v>
      </c>
      <c r="E221" t="s">
        <v>33</v>
      </c>
      <c r="G221" t="s">
        <v>25</v>
      </c>
      <c r="H221">
        <v>2</v>
      </c>
      <c r="I221">
        <v>0.1</v>
      </c>
      <c r="J221">
        <v>214.2</v>
      </c>
      <c r="K221" t="s">
        <v>52</v>
      </c>
      <c r="L221" t="s">
        <v>55</v>
      </c>
      <c r="M221" t="b">
        <v>0</v>
      </c>
    </row>
    <row r="222" spans="1:13" x14ac:dyDescent="0.2">
      <c r="A222">
        <v>221</v>
      </c>
      <c r="B222" t="s">
        <v>13</v>
      </c>
      <c r="C222" s="2">
        <v>44935</v>
      </c>
      <c r="D222" t="s">
        <v>14</v>
      </c>
      <c r="E222" t="s">
        <v>15</v>
      </c>
      <c r="F222" t="s">
        <v>26</v>
      </c>
      <c r="G222" t="s">
        <v>22</v>
      </c>
      <c r="H222">
        <v>4</v>
      </c>
      <c r="I222">
        <v>0</v>
      </c>
      <c r="J222">
        <v>79.959999999999994</v>
      </c>
      <c r="K222" t="s">
        <v>80</v>
      </c>
      <c r="L222" t="s">
        <v>45</v>
      </c>
      <c r="M222">
        <v>0</v>
      </c>
    </row>
    <row r="223" spans="1:13" x14ac:dyDescent="0.2">
      <c r="A223">
        <v>222</v>
      </c>
      <c r="B223" t="s">
        <v>37</v>
      </c>
      <c r="C223" s="2">
        <v>45031</v>
      </c>
      <c r="D223" t="s">
        <v>38</v>
      </c>
      <c r="E223" t="s">
        <v>39</v>
      </c>
      <c r="F223" t="s">
        <v>53</v>
      </c>
      <c r="G223" t="s">
        <v>54</v>
      </c>
      <c r="H223">
        <v>4</v>
      </c>
      <c r="I223">
        <v>0.1</v>
      </c>
      <c r="J223">
        <v>233.82</v>
      </c>
      <c r="K223" t="s">
        <v>80</v>
      </c>
      <c r="L223" t="s">
        <v>28</v>
      </c>
      <c r="M223">
        <v>1</v>
      </c>
    </row>
    <row r="224" spans="1:13" x14ac:dyDescent="0.2">
      <c r="A224">
        <v>223</v>
      </c>
      <c r="B224" t="s">
        <v>88</v>
      </c>
      <c r="C224" s="1">
        <v>45598</v>
      </c>
      <c r="D224" t="s">
        <v>25</v>
      </c>
      <c r="E224" t="s">
        <v>25</v>
      </c>
      <c r="F224" t="s">
        <v>16</v>
      </c>
      <c r="G224" t="s">
        <v>17</v>
      </c>
      <c r="H224">
        <v>3</v>
      </c>
      <c r="I224">
        <v>0.15</v>
      </c>
      <c r="J224">
        <v>504.9</v>
      </c>
      <c r="K224" t="s">
        <v>52</v>
      </c>
      <c r="L224" t="s">
        <v>30</v>
      </c>
      <c r="M224" t="s">
        <v>25</v>
      </c>
    </row>
    <row r="225" spans="1:13" x14ac:dyDescent="0.2">
      <c r="A225">
        <v>224</v>
      </c>
      <c r="B225" t="s">
        <v>88</v>
      </c>
      <c r="C225" s="2">
        <v>45192</v>
      </c>
      <c r="D225" t="s">
        <v>89</v>
      </c>
      <c r="E225" t="s">
        <v>33</v>
      </c>
      <c r="F225" t="s">
        <v>21</v>
      </c>
      <c r="G225" t="s">
        <v>22</v>
      </c>
      <c r="H225">
        <v>2</v>
      </c>
      <c r="I225">
        <v>0</v>
      </c>
      <c r="J225">
        <v>396</v>
      </c>
      <c r="K225" t="s">
        <v>52</v>
      </c>
      <c r="L225" t="s">
        <v>41</v>
      </c>
      <c r="M225" t="b">
        <v>0</v>
      </c>
    </row>
    <row r="226" spans="1:13" x14ac:dyDescent="0.2">
      <c r="A226">
        <v>225</v>
      </c>
      <c r="B226" t="s">
        <v>68</v>
      </c>
      <c r="C226" s="2">
        <v>45498</v>
      </c>
      <c r="D226" t="s">
        <v>69</v>
      </c>
      <c r="E226" t="s">
        <v>33</v>
      </c>
      <c r="F226" t="s">
        <v>44</v>
      </c>
      <c r="H226">
        <v>5</v>
      </c>
      <c r="I226">
        <v>0.1</v>
      </c>
      <c r="J226">
        <v>535.5</v>
      </c>
      <c r="K226" t="s">
        <v>36</v>
      </c>
      <c r="L226" t="s">
        <v>45</v>
      </c>
      <c r="M226" t="b">
        <v>0</v>
      </c>
    </row>
    <row r="227" spans="1:13" x14ac:dyDescent="0.2">
      <c r="A227">
        <v>226</v>
      </c>
      <c r="B227" t="s">
        <v>19</v>
      </c>
      <c r="C227" s="2">
        <v>45266</v>
      </c>
      <c r="D227" t="s">
        <v>20</v>
      </c>
      <c r="E227" t="s">
        <v>15</v>
      </c>
      <c r="F227" t="s">
        <v>16</v>
      </c>
      <c r="G227" t="s">
        <v>17</v>
      </c>
      <c r="H227">
        <v>3</v>
      </c>
      <c r="I227">
        <v>0.05</v>
      </c>
      <c r="J227">
        <v>256.36</v>
      </c>
      <c r="K227" t="s">
        <v>29</v>
      </c>
      <c r="L227" t="s">
        <v>30</v>
      </c>
      <c r="M227" t="b">
        <v>1</v>
      </c>
    </row>
    <row r="228" spans="1:13" x14ac:dyDescent="0.2">
      <c r="A228">
        <v>227</v>
      </c>
      <c r="B228" t="s">
        <v>78</v>
      </c>
      <c r="C228" s="2">
        <v>44982</v>
      </c>
      <c r="D228" t="s">
        <v>79</v>
      </c>
      <c r="E228" t="s">
        <v>48</v>
      </c>
      <c r="F228" t="s">
        <v>34</v>
      </c>
      <c r="G228" t="s">
        <v>35</v>
      </c>
      <c r="H228">
        <v>1</v>
      </c>
      <c r="I228">
        <v>0.2</v>
      </c>
      <c r="J228">
        <v>31.96</v>
      </c>
      <c r="K228" t="s">
        <v>29</v>
      </c>
      <c r="L228" t="s">
        <v>30</v>
      </c>
      <c r="M228">
        <v>1</v>
      </c>
    </row>
    <row r="229" spans="1:13" x14ac:dyDescent="0.2">
      <c r="A229">
        <v>228</v>
      </c>
      <c r="B229" t="s">
        <v>83</v>
      </c>
      <c r="C229" s="2">
        <v>44986</v>
      </c>
      <c r="D229" t="s">
        <v>84</v>
      </c>
      <c r="E229" t="s">
        <v>48</v>
      </c>
      <c r="F229" t="s">
        <v>16</v>
      </c>
      <c r="G229" t="s">
        <v>17</v>
      </c>
      <c r="H229">
        <v>3</v>
      </c>
      <c r="I229">
        <v>0</v>
      </c>
      <c r="J229">
        <v>149.85</v>
      </c>
      <c r="K229" t="s">
        <v>36</v>
      </c>
      <c r="L229" t="s">
        <v>49</v>
      </c>
      <c r="M229">
        <v>0</v>
      </c>
    </row>
    <row r="230" spans="1:13" x14ac:dyDescent="0.2">
      <c r="A230">
        <v>229</v>
      </c>
      <c r="B230" t="s">
        <v>85</v>
      </c>
      <c r="C230" s="2">
        <v>44931</v>
      </c>
      <c r="D230" t="s">
        <v>86</v>
      </c>
      <c r="E230" t="s">
        <v>76</v>
      </c>
      <c r="F230" t="s">
        <v>21</v>
      </c>
      <c r="G230" t="s">
        <v>22</v>
      </c>
      <c r="H230">
        <v>4</v>
      </c>
      <c r="I230">
        <v>0.2</v>
      </c>
      <c r="J230">
        <v>287.83999999999997</v>
      </c>
      <c r="K230" t="s">
        <v>29</v>
      </c>
      <c r="M230" t="s">
        <v>73</v>
      </c>
    </row>
    <row r="231" spans="1:13" x14ac:dyDescent="0.2">
      <c r="A231">
        <v>230</v>
      </c>
      <c r="B231" t="s">
        <v>68</v>
      </c>
      <c r="C231" s="1">
        <v>45442</v>
      </c>
      <c r="D231" t="s">
        <v>69</v>
      </c>
      <c r="E231" t="s">
        <v>33</v>
      </c>
      <c r="F231" t="s">
        <v>34</v>
      </c>
      <c r="G231" t="s">
        <v>35</v>
      </c>
      <c r="H231">
        <v>3</v>
      </c>
      <c r="I231" t="s">
        <v>70</v>
      </c>
      <c r="J231">
        <v>357</v>
      </c>
      <c r="K231" t="s">
        <v>29</v>
      </c>
      <c r="L231" t="s">
        <v>55</v>
      </c>
      <c r="M231" t="b">
        <v>0</v>
      </c>
    </row>
    <row r="232" spans="1:13" x14ac:dyDescent="0.2">
      <c r="A232">
        <v>231</v>
      </c>
      <c r="B232" t="s">
        <v>88</v>
      </c>
      <c r="C232" s="2">
        <v>45340</v>
      </c>
      <c r="D232" t="s">
        <v>89</v>
      </c>
      <c r="E232" t="s">
        <v>33</v>
      </c>
      <c r="F232" t="s">
        <v>66</v>
      </c>
      <c r="G232" t="s">
        <v>67</v>
      </c>
      <c r="H232">
        <v>4</v>
      </c>
      <c r="I232">
        <v>0.15</v>
      </c>
      <c r="J232">
        <v>673.2</v>
      </c>
      <c r="K232" t="s">
        <v>18</v>
      </c>
      <c r="L232" t="s">
        <v>63</v>
      </c>
      <c r="M232" t="b">
        <v>0</v>
      </c>
    </row>
    <row r="233" spans="1:13" x14ac:dyDescent="0.2">
      <c r="A233">
        <v>232</v>
      </c>
      <c r="B233" t="s">
        <v>74</v>
      </c>
      <c r="C233" s="1">
        <v>45037</v>
      </c>
      <c r="D233" t="s">
        <v>75</v>
      </c>
      <c r="E233" t="s">
        <v>76</v>
      </c>
      <c r="F233" t="s">
        <v>26</v>
      </c>
      <c r="G233" t="s">
        <v>22</v>
      </c>
      <c r="H233">
        <v>3</v>
      </c>
      <c r="I233">
        <v>0</v>
      </c>
      <c r="J233">
        <v>134.85</v>
      </c>
      <c r="K233" t="s">
        <v>36</v>
      </c>
      <c r="L233" t="s">
        <v>23</v>
      </c>
      <c r="M233" t="s">
        <v>77</v>
      </c>
    </row>
    <row r="234" spans="1:13" x14ac:dyDescent="0.2">
      <c r="A234">
        <v>233</v>
      </c>
      <c r="B234" t="s">
        <v>13</v>
      </c>
      <c r="C234" s="2">
        <v>45459</v>
      </c>
      <c r="D234" t="s">
        <v>14</v>
      </c>
      <c r="E234" t="s">
        <v>15</v>
      </c>
      <c r="F234" t="s">
        <v>34</v>
      </c>
      <c r="G234" t="s">
        <v>35</v>
      </c>
      <c r="H234">
        <v>3</v>
      </c>
      <c r="I234">
        <v>0.2</v>
      </c>
      <c r="J234">
        <v>47.98</v>
      </c>
      <c r="K234" t="s">
        <v>36</v>
      </c>
      <c r="L234" t="s">
        <v>55</v>
      </c>
      <c r="M234">
        <v>0</v>
      </c>
    </row>
    <row r="235" spans="1:13" x14ac:dyDescent="0.2">
      <c r="A235">
        <v>234</v>
      </c>
      <c r="B235" t="s">
        <v>37</v>
      </c>
      <c r="C235" s="2">
        <v>45133</v>
      </c>
      <c r="D235" t="s">
        <v>38</v>
      </c>
      <c r="E235" t="s">
        <v>39</v>
      </c>
      <c r="F235" t="s">
        <v>44</v>
      </c>
      <c r="H235">
        <v>5</v>
      </c>
      <c r="I235">
        <v>0.05</v>
      </c>
      <c r="J235">
        <v>308.51</v>
      </c>
      <c r="K235" t="s">
        <v>80</v>
      </c>
      <c r="L235" t="s">
        <v>30</v>
      </c>
      <c r="M235">
        <v>1</v>
      </c>
    </row>
    <row r="236" spans="1:13" x14ac:dyDescent="0.2">
      <c r="A236">
        <v>235</v>
      </c>
      <c r="B236" t="s">
        <v>81</v>
      </c>
      <c r="C236" s="1">
        <v>45003</v>
      </c>
      <c r="D236" t="s">
        <v>82</v>
      </c>
      <c r="E236" t="s">
        <v>15</v>
      </c>
      <c r="F236" t="s">
        <v>16</v>
      </c>
      <c r="G236" t="s">
        <v>17</v>
      </c>
      <c r="H236">
        <v>4</v>
      </c>
      <c r="I236">
        <v>0</v>
      </c>
      <c r="J236">
        <v>319.8</v>
      </c>
      <c r="K236" t="s">
        <v>80</v>
      </c>
      <c r="M236" t="s">
        <v>73</v>
      </c>
    </row>
    <row r="237" spans="1:13" x14ac:dyDescent="0.2">
      <c r="A237">
        <v>236</v>
      </c>
      <c r="B237" t="s">
        <v>50</v>
      </c>
      <c r="C237" s="2">
        <v>45045</v>
      </c>
      <c r="D237" t="s">
        <v>51</v>
      </c>
      <c r="E237" t="s">
        <v>15</v>
      </c>
      <c r="F237" t="s">
        <v>26</v>
      </c>
      <c r="G237" t="s">
        <v>22</v>
      </c>
      <c r="H237">
        <v>3</v>
      </c>
      <c r="I237">
        <v>0.15</v>
      </c>
      <c r="J237">
        <v>178.37</v>
      </c>
      <c r="K237" t="s">
        <v>36</v>
      </c>
      <c r="L237" t="s">
        <v>28</v>
      </c>
      <c r="M237">
        <v>0</v>
      </c>
    </row>
    <row r="238" spans="1:13" x14ac:dyDescent="0.2">
      <c r="A238">
        <v>237</v>
      </c>
      <c r="B238" t="s">
        <v>42</v>
      </c>
      <c r="C238" s="2">
        <v>45337</v>
      </c>
      <c r="D238" t="s">
        <v>43</v>
      </c>
      <c r="E238" t="s">
        <v>15</v>
      </c>
      <c r="F238" t="s">
        <v>53</v>
      </c>
      <c r="G238" t="s">
        <v>54</v>
      </c>
      <c r="H238">
        <v>3</v>
      </c>
      <c r="I238">
        <v>0.15</v>
      </c>
      <c r="J238">
        <v>328.95</v>
      </c>
      <c r="K238" t="s">
        <v>27</v>
      </c>
      <c r="L238" t="s">
        <v>45</v>
      </c>
      <c r="M238" t="b">
        <v>1</v>
      </c>
    </row>
    <row r="239" spans="1:13" x14ac:dyDescent="0.2">
      <c r="A239">
        <v>238</v>
      </c>
      <c r="B239" t="s">
        <v>31</v>
      </c>
      <c r="C239" s="2">
        <v>45621</v>
      </c>
      <c r="D239" t="s">
        <v>32</v>
      </c>
      <c r="E239" t="s">
        <v>33</v>
      </c>
      <c r="F239" t="s">
        <v>26</v>
      </c>
      <c r="G239" t="s">
        <v>22</v>
      </c>
      <c r="H239">
        <v>1</v>
      </c>
      <c r="J239">
        <v>79.95</v>
      </c>
      <c r="K239" t="s">
        <v>80</v>
      </c>
      <c r="L239" t="s">
        <v>41</v>
      </c>
      <c r="M239" t="b">
        <v>0</v>
      </c>
    </row>
    <row r="240" spans="1:13" x14ac:dyDescent="0.2">
      <c r="A240">
        <v>239</v>
      </c>
      <c r="B240" t="s">
        <v>64</v>
      </c>
      <c r="C240" s="1">
        <v>45273</v>
      </c>
      <c r="D240" t="s">
        <v>65</v>
      </c>
      <c r="E240" t="s">
        <v>33</v>
      </c>
      <c r="F240" t="s">
        <v>16</v>
      </c>
      <c r="G240" t="s">
        <v>17</v>
      </c>
      <c r="H240">
        <v>3</v>
      </c>
      <c r="I240">
        <v>0</v>
      </c>
      <c r="J240">
        <v>224.85</v>
      </c>
      <c r="K240" t="s">
        <v>36</v>
      </c>
      <c r="L240" t="s">
        <v>63</v>
      </c>
      <c r="M240">
        <v>0</v>
      </c>
    </row>
    <row r="241" spans="1:13" x14ac:dyDescent="0.2">
      <c r="A241">
        <v>240</v>
      </c>
      <c r="B241" t="s">
        <v>13</v>
      </c>
      <c r="C241" s="2">
        <v>45003</v>
      </c>
      <c r="D241" t="s">
        <v>14</v>
      </c>
      <c r="E241" t="s">
        <v>15</v>
      </c>
      <c r="F241" t="s">
        <v>26</v>
      </c>
      <c r="G241" t="s">
        <v>22</v>
      </c>
      <c r="H241">
        <v>2</v>
      </c>
      <c r="I241">
        <v>0.25</v>
      </c>
      <c r="J241">
        <v>29.98</v>
      </c>
      <c r="K241" t="s">
        <v>18</v>
      </c>
      <c r="L241" t="s">
        <v>41</v>
      </c>
      <c r="M241">
        <v>0</v>
      </c>
    </row>
    <row r="242" spans="1:13" x14ac:dyDescent="0.2">
      <c r="A242">
        <v>241</v>
      </c>
      <c r="B242" t="s">
        <v>81</v>
      </c>
      <c r="C242" s="2">
        <v>45250</v>
      </c>
      <c r="D242" t="s">
        <v>82</v>
      </c>
      <c r="E242" t="s">
        <v>15</v>
      </c>
      <c r="F242" t="s">
        <v>44</v>
      </c>
      <c r="H242">
        <v>4</v>
      </c>
      <c r="I242">
        <v>0</v>
      </c>
      <c r="J242">
        <v>319.8</v>
      </c>
      <c r="K242" t="s">
        <v>29</v>
      </c>
      <c r="L242" t="s">
        <v>41</v>
      </c>
      <c r="M242" t="s">
        <v>73</v>
      </c>
    </row>
    <row r="243" spans="1:13" x14ac:dyDescent="0.2">
      <c r="A243">
        <v>242</v>
      </c>
      <c r="B243" t="s">
        <v>78</v>
      </c>
      <c r="C243" s="2">
        <v>45299</v>
      </c>
      <c r="D243" t="s">
        <v>79</v>
      </c>
      <c r="E243" t="s">
        <v>48</v>
      </c>
      <c r="F243" t="s">
        <v>53</v>
      </c>
      <c r="G243" t="s">
        <v>54</v>
      </c>
      <c r="H243">
        <v>5</v>
      </c>
      <c r="I243">
        <v>0.05</v>
      </c>
      <c r="J243">
        <v>189.76</v>
      </c>
      <c r="K243" t="s">
        <v>52</v>
      </c>
      <c r="L243" t="s">
        <v>41</v>
      </c>
      <c r="M243">
        <v>1</v>
      </c>
    </row>
    <row r="244" spans="1:13" x14ac:dyDescent="0.2">
      <c r="A244">
        <v>243</v>
      </c>
      <c r="B244" t="s">
        <v>19</v>
      </c>
      <c r="C244" s="1">
        <v>45225</v>
      </c>
      <c r="D244" t="s">
        <v>20</v>
      </c>
      <c r="E244" t="s">
        <v>15</v>
      </c>
      <c r="F244" t="s">
        <v>16</v>
      </c>
      <c r="G244" t="s">
        <v>17</v>
      </c>
      <c r="H244">
        <v>1</v>
      </c>
      <c r="I244">
        <v>0.15</v>
      </c>
      <c r="J244">
        <v>76.459999999999994</v>
      </c>
      <c r="K244" t="s">
        <v>36</v>
      </c>
      <c r="L244" t="s">
        <v>49</v>
      </c>
      <c r="M244" t="b">
        <v>1</v>
      </c>
    </row>
    <row r="245" spans="1:13" x14ac:dyDescent="0.2">
      <c r="A245">
        <v>244</v>
      </c>
      <c r="B245" t="s">
        <v>37</v>
      </c>
      <c r="C245" s="1">
        <v>45122</v>
      </c>
      <c r="D245" t="s">
        <v>38</v>
      </c>
      <c r="E245" t="s">
        <v>39</v>
      </c>
      <c r="F245" t="s">
        <v>34</v>
      </c>
      <c r="G245" t="s">
        <v>35</v>
      </c>
      <c r="H245">
        <v>1</v>
      </c>
      <c r="I245">
        <v>0.2</v>
      </c>
      <c r="J245">
        <v>51.96</v>
      </c>
      <c r="K245" t="s">
        <v>29</v>
      </c>
      <c r="L245" t="s">
        <v>63</v>
      </c>
      <c r="M245">
        <v>1</v>
      </c>
    </row>
    <row r="246" spans="1:13" x14ac:dyDescent="0.2">
      <c r="A246">
        <v>245</v>
      </c>
      <c r="B246" t="s">
        <v>83</v>
      </c>
      <c r="C246" s="1">
        <v>45421</v>
      </c>
      <c r="D246" t="s">
        <v>84</v>
      </c>
      <c r="E246" t="s">
        <v>48</v>
      </c>
      <c r="F246" t="s">
        <v>66</v>
      </c>
      <c r="G246" t="s">
        <v>67</v>
      </c>
      <c r="H246">
        <v>1</v>
      </c>
      <c r="I246">
        <v>0</v>
      </c>
      <c r="J246">
        <v>49.95</v>
      </c>
      <c r="K246" t="s">
        <v>80</v>
      </c>
      <c r="L246" t="s">
        <v>28</v>
      </c>
      <c r="M246">
        <v>0</v>
      </c>
    </row>
    <row r="247" spans="1:13" x14ac:dyDescent="0.2">
      <c r="A247">
        <v>246</v>
      </c>
      <c r="B247" t="s">
        <v>78</v>
      </c>
      <c r="C247" s="2">
        <v>45334</v>
      </c>
      <c r="D247" t="s">
        <v>79</v>
      </c>
      <c r="E247" t="s">
        <v>48</v>
      </c>
      <c r="F247" t="s">
        <v>40</v>
      </c>
      <c r="G247" t="s">
        <v>17</v>
      </c>
      <c r="H247">
        <v>4</v>
      </c>
      <c r="I247">
        <v>0.2</v>
      </c>
      <c r="J247">
        <v>127.84</v>
      </c>
      <c r="K247" t="s">
        <v>52</v>
      </c>
      <c r="L247" t="s">
        <v>63</v>
      </c>
      <c r="M247">
        <v>1</v>
      </c>
    </row>
    <row r="248" spans="1:13" x14ac:dyDescent="0.2">
      <c r="A248">
        <v>247</v>
      </c>
      <c r="B248" t="s">
        <v>56</v>
      </c>
      <c r="C248" s="1">
        <v>45224</v>
      </c>
      <c r="D248" t="s">
        <v>57</v>
      </c>
      <c r="E248" t="s">
        <v>48</v>
      </c>
      <c r="F248" t="s">
        <v>40</v>
      </c>
      <c r="G248" t="s">
        <v>17</v>
      </c>
      <c r="H248">
        <v>2</v>
      </c>
      <c r="I248">
        <v>0.05</v>
      </c>
      <c r="J248">
        <v>161.5</v>
      </c>
      <c r="K248" t="s">
        <v>80</v>
      </c>
      <c r="L248" t="s">
        <v>63</v>
      </c>
      <c r="M248">
        <v>1</v>
      </c>
    </row>
    <row r="249" spans="1:13" x14ac:dyDescent="0.2">
      <c r="A249">
        <v>248</v>
      </c>
      <c r="B249" t="s">
        <v>68</v>
      </c>
      <c r="C249" s="2">
        <v>45473</v>
      </c>
      <c r="D249" t="s">
        <v>25</v>
      </c>
      <c r="E249" t="s">
        <v>25</v>
      </c>
      <c r="F249" t="s">
        <v>16</v>
      </c>
      <c r="G249" t="s">
        <v>17</v>
      </c>
      <c r="H249">
        <v>5</v>
      </c>
      <c r="I249">
        <v>0.25</v>
      </c>
      <c r="J249">
        <v>446.25</v>
      </c>
      <c r="K249" t="s">
        <v>36</v>
      </c>
      <c r="M249" t="s">
        <v>25</v>
      </c>
    </row>
    <row r="250" spans="1:13" x14ac:dyDescent="0.2">
      <c r="A250">
        <v>249</v>
      </c>
      <c r="B250" t="s">
        <v>50</v>
      </c>
      <c r="C250" s="2">
        <v>45229</v>
      </c>
      <c r="D250" t="s">
        <v>51</v>
      </c>
      <c r="E250" t="s">
        <v>15</v>
      </c>
      <c r="F250" t="s">
        <v>66</v>
      </c>
      <c r="G250" t="s">
        <v>67</v>
      </c>
      <c r="H250">
        <v>3</v>
      </c>
      <c r="I250">
        <v>0</v>
      </c>
      <c r="J250">
        <v>209.85</v>
      </c>
      <c r="K250" t="s">
        <v>36</v>
      </c>
      <c r="L250" t="s">
        <v>23</v>
      </c>
      <c r="M250">
        <v>0</v>
      </c>
    </row>
    <row r="251" spans="1:13" x14ac:dyDescent="0.2">
      <c r="A251">
        <v>250</v>
      </c>
      <c r="B251" t="s">
        <v>19</v>
      </c>
      <c r="C251" s="2">
        <v>45323</v>
      </c>
      <c r="D251" t="s">
        <v>20</v>
      </c>
      <c r="E251" t="s">
        <v>15</v>
      </c>
      <c r="F251" t="s">
        <v>21</v>
      </c>
      <c r="G251" t="s">
        <v>22</v>
      </c>
      <c r="H251">
        <v>5</v>
      </c>
      <c r="I251">
        <v>0.1</v>
      </c>
      <c r="J251">
        <v>404.78</v>
      </c>
      <c r="K251" t="s">
        <v>29</v>
      </c>
      <c r="L251" t="s">
        <v>23</v>
      </c>
      <c r="M251" t="b">
        <v>1</v>
      </c>
    </row>
    <row r="252" spans="1:13" x14ac:dyDescent="0.2">
      <c r="A252">
        <v>251</v>
      </c>
      <c r="B252" t="s">
        <v>19</v>
      </c>
      <c r="C252" s="2">
        <v>45386</v>
      </c>
      <c r="D252" t="s">
        <v>20</v>
      </c>
      <c r="E252" t="s">
        <v>15</v>
      </c>
      <c r="F252" t="s">
        <v>44</v>
      </c>
      <c r="H252">
        <v>3</v>
      </c>
      <c r="I252">
        <v>0.05</v>
      </c>
      <c r="J252">
        <v>256.36</v>
      </c>
      <c r="K252" t="s">
        <v>52</v>
      </c>
      <c r="M252" t="b">
        <v>1</v>
      </c>
    </row>
    <row r="253" spans="1:13" x14ac:dyDescent="0.2">
      <c r="A253">
        <v>252</v>
      </c>
      <c r="B253" t="s">
        <v>61</v>
      </c>
      <c r="C253" s="1">
        <v>45404</v>
      </c>
      <c r="D253" t="s">
        <v>62</v>
      </c>
      <c r="E253" t="s">
        <v>33</v>
      </c>
      <c r="F253" t="s">
        <v>53</v>
      </c>
      <c r="G253" t="s">
        <v>54</v>
      </c>
      <c r="H253">
        <v>2</v>
      </c>
      <c r="I253">
        <v>0.1</v>
      </c>
      <c r="J253">
        <v>62.98</v>
      </c>
      <c r="K253" t="s">
        <v>52</v>
      </c>
      <c r="L253" t="s">
        <v>23</v>
      </c>
      <c r="M253">
        <v>0</v>
      </c>
    </row>
    <row r="254" spans="1:13" x14ac:dyDescent="0.2">
      <c r="A254">
        <v>253</v>
      </c>
      <c r="B254" t="s">
        <v>83</v>
      </c>
      <c r="C254" s="1">
        <v>45252</v>
      </c>
      <c r="D254" t="s">
        <v>84</v>
      </c>
      <c r="E254" t="s">
        <v>48</v>
      </c>
      <c r="F254" t="s">
        <v>53</v>
      </c>
      <c r="G254" t="s">
        <v>54</v>
      </c>
      <c r="H254">
        <v>5</v>
      </c>
      <c r="I254">
        <v>0.15</v>
      </c>
      <c r="J254">
        <v>212.29</v>
      </c>
      <c r="K254" t="s">
        <v>36</v>
      </c>
      <c r="L254" t="s">
        <v>55</v>
      </c>
      <c r="M254">
        <v>0</v>
      </c>
    </row>
    <row r="255" spans="1:13" x14ac:dyDescent="0.2">
      <c r="A255">
        <v>254</v>
      </c>
      <c r="B255" t="s">
        <v>88</v>
      </c>
      <c r="C255" s="1">
        <v>45560</v>
      </c>
      <c r="D255" t="s">
        <v>89</v>
      </c>
      <c r="E255" t="s">
        <v>33</v>
      </c>
      <c r="F255" t="s">
        <v>34</v>
      </c>
      <c r="G255" t="s">
        <v>35</v>
      </c>
      <c r="H255">
        <v>3</v>
      </c>
      <c r="I255">
        <v>0.15</v>
      </c>
      <c r="J255">
        <v>504.9</v>
      </c>
      <c r="K255" t="s">
        <v>18</v>
      </c>
      <c r="L255" t="s">
        <v>30</v>
      </c>
      <c r="M255" t="b">
        <v>0</v>
      </c>
    </row>
    <row r="256" spans="1:13" x14ac:dyDescent="0.2">
      <c r="A256">
        <v>255</v>
      </c>
      <c r="B256" t="s">
        <v>58</v>
      </c>
      <c r="C256" s="1">
        <v>45189</v>
      </c>
      <c r="D256" t="s">
        <v>59</v>
      </c>
      <c r="E256" t="s">
        <v>15</v>
      </c>
      <c r="F256" t="s">
        <v>34</v>
      </c>
      <c r="G256" t="s">
        <v>35</v>
      </c>
      <c r="H256">
        <v>3</v>
      </c>
      <c r="I256">
        <v>0.2</v>
      </c>
      <c r="J256">
        <v>143.88</v>
      </c>
      <c r="K256" t="s">
        <v>29</v>
      </c>
      <c r="L256" t="s">
        <v>55</v>
      </c>
      <c r="M256">
        <v>1</v>
      </c>
    </row>
    <row r="257" spans="1:13" x14ac:dyDescent="0.2">
      <c r="A257">
        <v>256</v>
      </c>
      <c r="B257" t="s">
        <v>37</v>
      </c>
      <c r="C257" s="1">
        <v>45477</v>
      </c>
      <c r="D257" t="s">
        <v>38</v>
      </c>
      <c r="E257" t="s">
        <v>39</v>
      </c>
      <c r="G257" t="s">
        <v>25</v>
      </c>
      <c r="H257">
        <v>3</v>
      </c>
      <c r="I257">
        <v>0</v>
      </c>
      <c r="J257">
        <v>194.85</v>
      </c>
      <c r="K257" t="s">
        <v>18</v>
      </c>
      <c r="L257" t="s">
        <v>55</v>
      </c>
      <c r="M257">
        <v>1</v>
      </c>
    </row>
    <row r="258" spans="1:13" x14ac:dyDescent="0.2">
      <c r="A258">
        <v>257</v>
      </c>
      <c r="B258" t="s">
        <v>42</v>
      </c>
      <c r="C258" s="2">
        <v>45266</v>
      </c>
      <c r="D258" t="s">
        <v>43</v>
      </c>
      <c r="E258" t="s">
        <v>15</v>
      </c>
      <c r="F258" t="s">
        <v>21</v>
      </c>
      <c r="G258" t="s">
        <v>22</v>
      </c>
      <c r="H258">
        <v>2</v>
      </c>
      <c r="I258">
        <v>0</v>
      </c>
      <c r="J258">
        <v>258</v>
      </c>
      <c r="K258" t="s">
        <v>36</v>
      </c>
      <c r="L258" t="s">
        <v>41</v>
      </c>
      <c r="M258" t="b">
        <v>1</v>
      </c>
    </row>
    <row r="259" spans="1:13" x14ac:dyDescent="0.2">
      <c r="A259">
        <v>258</v>
      </c>
      <c r="B259" t="s">
        <v>24</v>
      </c>
      <c r="C259" s="1">
        <v>45325</v>
      </c>
      <c r="D259" t="s">
        <v>87</v>
      </c>
      <c r="E259" t="s">
        <v>39</v>
      </c>
      <c r="F259" t="s">
        <v>21</v>
      </c>
      <c r="G259" t="s">
        <v>22</v>
      </c>
      <c r="H259">
        <v>4</v>
      </c>
      <c r="I259">
        <v>0.2</v>
      </c>
      <c r="J259">
        <v>143.84</v>
      </c>
      <c r="K259" t="s">
        <v>27</v>
      </c>
      <c r="M259" t="b">
        <v>1</v>
      </c>
    </row>
    <row r="260" spans="1:13" x14ac:dyDescent="0.2">
      <c r="A260">
        <v>259</v>
      </c>
      <c r="B260" t="s">
        <v>78</v>
      </c>
      <c r="C260" s="2">
        <v>45015</v>
      </c>
      <c r="D260" t="s">
        <v>79</v>
      </c>
      <c r="E260" t="s">
        <v>48</v>
      </c>
      <c r="F260" t="s">
        <v>40</v>
      </c>
      <c r="G260" t="s">
        <v>17</v>
      </c>
      <c r="H260">
        <v>1</v>
      </c>
      <c r="I260">
        <v>0.1</v>
      </c>
      <c r="J260">
        <v>35.96</v>
      </c>
      <c r="K260" t="s">
        <v>80</v>
      </c>
      <c r="L260" t="s">
        <v>30</v>
      </c>
      <c r="M260">
        <v>1</v>
      </c>
    </row>
    <row r="261" spans="1:13" x14ac:dyDescent="0.2">
      <c r="A261">
        <v>260</v>
      </c>
      <c r="B261" t="s">
        <v>61</v>
      </c>
      <c r="C261" s="2">
        <v>45495</v>
      </c>
      <c r="D261" t="s">
        <v>62</v>
      </c>
      <c r="E261" t="s">
        <v>33</v>
      </c>
      <c r="F261" t="s">
        <v>53</v>
      </c>
      <c r="G261" t="s">
        <v>54</v>
      </c>
      <c r="H261">
        <v>3</v>
      </c>
      <c r="I261">
        <v>0.15</v>
      </c>
      <c r="J261">
        <v>89.22</v>
      </c>
      <c r="K261" t="s">
        <v>80</v>
      </c>
      <c r="L261" t="s">
        <v>23</v>
      </c>
      <c r="M261">
        <v>0</v>
      </c>
    </row>
    <row r="262" spans="1:13" x14ac:dyDescent="0.2">
      <c r="A262">
        <v>261</v>
      </c>
      <c r="B262" t="s">
        <v>37</v>
      </c>
      <c r="C262" s="1">
        <v>45153</v>
      </c>
      <c r="D262" t="s">
        <v>38</v>
      </c>
      <c r="E262" t="s">
        <v>39</v>
      </c>
      <c r="F262" t="s">
        <v>40</v>
      </c>
      <c r="G262" t="s">
        <v>17</v>
      </c>
      <c r="H262">
        <v>4</v>
      </c>
      <c r="I262">
        <v>0</v>
      </c>
      <c r="J262">
        <v>259.8</v>
      </c>
      <c r="K262" t="s">
        <v>18</v>
      </c>
      <c r="L262" t="s">
        <v>45</v>
      </c>
      <c r="M262">
        <v>1</v>
      </c>
    </row>
    <row r="263" spans="1:13" x14ac:dyDescent="0.2">
      <c r="A263">
        <v>262</v>
      </c>
      <c r="B263" t="s">
        <v>56</v>
      </c>
      <c r="C263" s="2">
        <v>45027</v>
      </c>
      <c r="D263" t="s">
        <v>57</v>
      </c>
      <c r="E263" t="s">
        <v>48</v>
      </c>
      <c r="F263" t="s">
        <v>44</v>
      </c>
      <c r="H263">
        <v>1</v>
      </c>
      <c r="I263">
        <v>0.1</v>
      </c>
      <c r="J263">
        <v>76.5</v>
      </c>
      <c r="K263" t="s">
        <v>52</v>
      </c>
      <c r="L263" t="s">
        <v>55</v>
      </c>
      <c r="M263">
        <v>1</v>
      </c>
    </row>
    <row r="264" spans="1:13" x14ac:dyDescent="0.2">
      <c r="A264">
        <v>263</v>
      </c>
      <c r="B264" t="s">
        <v>83</v>
      </c>
      <c r="C264" s="2">
        <v>45525</v>
      </c>
      <c r="D264" t="s">
        <v>84</v>
      </c>
      <c r="E264" t="s">
        <v>48</v>
      </c>
      <c r="F264" t="s">
        <v>40</v>
      </c>
      <c r="G264" t="s">
        <v>17</v>
      </c>
      <c r="H264">
        <v>4</v>
      </c>
      <c r="I264">
        <v>0.15</v>
      </c>
      <c r="J264">
        <v>169.83</v>
      </c>
      <c r="K264" t="s">
        <v>36</v>
      </c>
      <c r="L264" t="s">
        <v>30</v>
      </c>
      <c r="M264">
        <v>0</v>
      </c>
    </row>
    <row r="265" spans="1:13" x14ac:dyDescent="0.2">
      <c r="A265">
        <v>264</v>
      </c>
      <c r="B265" t="s">
        <v>64</v>
      </c>
      <c r="C265" s="2">
        <v>45400</v>
      </c>
      <c r="D265" t="s">
        <v>65</v>
      </c>
      <c r="E265" t="s">
        <v>33</v>
      </c>
      <c r="F265" t="s">
        <v>21</v>
      </c>
      <c r="G265" t="s">
        <v>22</v>
      </c>
      <c r="H265">
        <v>3</v>
      </c>
      <c r="I265">
        <v>0</v>
      </c>
      <c r="J265">
        <v>224.85</v>
      </c>
      <c r="K265" t="s">
        <v>29</v>
      </c>
      <c r="L265" t="s">
        <v>49</v>
      </c>
      <c r="M265">
        <v>0</v>
      </c>
    </row>
    <row r="266" spans="1:13" x14ac:dyDescent="0.2">
      <c r="A266">
        <v>265</v>
      </c>
      <c r="B266" t="s">
        <v>64</v>
      </c>
      <c r="C266" s="2">
        <v>45573</v>
      </c>
      <c r="D266" t="s">
        <v>65</v>
      </c>
      <c r="E266" t="s">
        <v>33</v>
      </c>
      <c r="F266" t="s">
        <v>34</v>
      </c>
      <c r="G266" t="s">
        <v>35</v>
      </c>
      <c r="H266">
        <v>1</v>
      </c>
      <c r="I266">
        <v>0</v>
      </c>
      <c r="J266">
        <v>74.95</v>
      </c>
      <c r="K266" t="s">
        <v>80</v>
      </c>
      <c r="L266" t="s">
        <v>23</v>
      </c>
      <c r="M266">
        <v>0</v>
      </c>
    </row>
    <row r="267" spans="1:13" x14ac:dyDescent="0.2">
      <c r="A267">
        <v>266</v>
      </c>
      <c r="B267" t="s">
        <v>68</v>
      </c>
      <c r="C267" s="1">
        <v>45402</v>
      </c>
      <c r="D267" t="s">
        <v>69</v>
      </c>
      <c r="E267" t="s">
        <v>33</v>
      </c>
      <c r="F267" t="s">
        <v>66</v>
      </c>
      <c r="G267" t="s">
        <v>67</v>
      </c>
      <c r="H267">
        <v>4</v>
      </c>
      <c r="I267">
        <v>0.05</v>
      </c>
      <c r="J267">
        <v>452.2</v>
      </c>
      <c r="K267" t="s">
        <v>18</v>
      </c>
      <c r="L267" t="s">
        <v>30</v>
      </c>
      <c r="M267" t="b">
        <v>0</v>
      </c>
    </row>
    <row r="268" spans="1:13" x14ac:dyDescent="0.2">
      <c r="A268">
        <v>267</v>
      </c>
      <c r="B268" t="s">
        <v>24</v>
      </c>
      <c r="C268" s="2">
        <v>45422</v>
      </c>
      <c r="D268" t="s">
        <v>87</v>
      </c>
      <c r="E268" t="s">
        <v>39</v>
      </c>
      <c r="G268" t="s">
        <v>25</v>
      </c>
      <c r="H268">
        <v>2</v>
      </c>
      <c r="I268">
        <v>0</v>
      </c>
      <c r="J268">
        <v>89.9</v>
      </c>
      <c r="K268" t="s">
        <v>36</v>
      </c>
      <c r="L268" t="s">
        <v>45</v>
      </c>
      <c r="M268" t="b">
        <v>1</v>
      </c>
    </row>
    <row r="269" spans="1:13" x14ac:dyDescent="0.2">
      <c r="A269">
        <v>268</v>
      </c>
      <c r="B269" t="s">
        <v>83</v>
      </c>
      <c r="C269" s="2">
        <v>45258</v>
      </c>
      <c r="D269" t="s">
        <v>84</v>
      </c>
      <c r="E269" t="s">
        <v>48</v>
      </c>
      <c r="F269" t="s">
        <v>21</v>
      </c>
      <c r="G269" t="s">
        <v>22</v>
      </c>
      <c r="H269">
        <v>4</v>
      </c>
      <c r="I269">
        <v>0</v>
      </c>
      <c r="J269">
        <v>199.8</v>
      </c>
      <c r="K269" t="s">
        <v>36</v>
      </c>
      <c r="L269" t="s">
        <v>23</v>
      </c>
      <c r="M269">
        <v>0</v>
      </c>
    </row>
    <row r="270" spans="1:13" x14ac:dyDescent="0.2">
      <c r="A270">
        <v>269</v>
      </c>
      <c r="B270" t="s">
        <v>81</v>
      </c>
      <c r="C270" s="2">
        <v>45455</v>
      </c>
      <c r="D270" t="s">
        <v>82</v>
      </c>
      <c r="E270" t="s">
        <v>15</v>
      </c>
      <c r="F270" t="s">
        <v>40</v>
      </c>
      <c r="G270" t="s">
        <v>17</v>
      </c>
      <c r="H270">
        <v>1</v>
      </c>
      <c r="I270">
        <v>0.1</v>
      </c>
      <c r="J270">
        <v>71.959999999999994</v>
      </c>
      <c r="K270" t="s">
        <v>18</v>
      </c>
      <c r="L270" t="s">
        <v>28</v>
      </c>
      <c r="M270" t="s">
        <v>73</v>
      </c>
    </row>
    <row r="271" spans="1:13" x14ac:dyDescent="0.2">
      <c r="A271">
        <v>270</v>
      </c>
      <c r="B271" t="s">
        <v>78</v>
      </c>
      <c r="C271" s="2">
        <v>45088</v>
      </c>
      <c r="D271" t="s">
        <v>79</v>
      </c>
      <c r="E271" t="s">
        <v>48</v>
      </c>
      <c r="F271" t="s">
        <v>16</v>
      </c>
      <c r="G271" t="s">
        <v>17</v>
      </c>
      <c r="H271">
        <v>3</v>
      </c>
      <c r="I271">
        <v>0.05</v>
      </c>
      <c r="J271">
        <v>113.86</v>
      </c>
      <c r="K271" t="s">
        <v>18</v>
      </c>
      <c r="L271" t="s">
        <v>45</v>
      </c>
      <c r="M271">
        <v>1</v>
      </c>
    </row>
    <row r="272" spans="1:13" x14ac:dyDescent="0.2">
      <c r="A272">
        <v>271</v>
      </c>
      <c r="B272" t="s">
        <v>85</v>
      </c>
      <c r="C272" s="1">
        <v>45514</v>
      </c>
      <c r="D272" t="s">
        <v>86</v>
      </c>
      <c r="E272" t="s">
        <v>76</v>
      </c>
      <c r="F272" t="s">
        <v>66</v>
      </c>
      <c r="G272" t="s">
        <v>67</v>
      </c>
      <c r="H272">
        <v>1</v>
      </c>
      <c r="I272">
        <v>0.05</v>
      </c>
      <c r="J272">
        <v>85.45</v>
      </c>
      <c r="K272" t="s">
        <v>18</v>
      </c>
      <c r="L272" t="s">
        <v>23</v>
      </c>
      <c r="M272" t="s">
        <v>73</v>
      </c>
    </row>
    <row r="273" spans="1:13" x14ac:dyDescent="0.2">
      <c r="A273">
        <v>272</v>
      </c>
      <c r="B273" t="s">
        <v>50</v>
      </c>
      <c r="C273" s="2">
        <v>45409</v>
      </c>
      <c r="D273" t="s">
        <v>51</v>
      </c>
      <c r="E273" t="s">
        <v>15</v>
      </c>
      <c r="F273" t="s">
        <v>26</v>
      </c>
      <c r="G273" t="s">
        <v>22</v>
      </c>
      <c r="H273">
        <v>1</v>
      </c>
      <c r="I273">
        <v>0.05</v>
      </c>
      <c r="J273">
        <v>66.45</v>
      </c>
      <c r="K273" t="s">
        <v>80</v>
      </c>
      <c r="L273" t="s">
        <v>41</v>
      </c>
      <c r="M273">
        <v>0</v>
      </c>
    </row>
    <row r="274" spans="1:13" x14ac:dyDescent="0.2">
      <c r="A274">
        <v>273</v>
      </c>
      <c r="B274" t="s">
        <v>24</v>
      </c>
      <c r="C274" s="2">
        <v>45321</v>
      </c>
      <c r="D274" t="s">
        <v>87</v>
      </c>
      <c r="E274" t="s">
        <v>39</v>
      </c>
      <c r="F274" t="s">
        <v>40</v>
      </c>
      <c r="G274" t="s">
        <v>17</v>
      </c>
      <c r="H274">
        <v>5</v>
      </c>
      <c r="I274">
        <v>0</v>
      </c>
      <c r="J274">
        <v>224.75</v>
      </c>
      <c r="K274" t="s">
        <v>29</v>
      </c>
      <c r="L274" t="s">
        <v>63</v>
      </c>
      <c r="M274" t="b">
        <v>1</v>
      </c>
    </row>
    <row r="275" spans="1:13" x14ac:dyDescent="0.2">
      <c r="A275">
        <v>274</v>
      </c>
      <c r="B275" t="s">
        <v>56</v>
      </c>
      <c r="C275" s="2">
        <v>45602</v>
      </c>
      <c r="D275" t="s">
        <v>57</v>
      </c>
      <c r="E275" t="s">
        <v>48</v>
      </c>
      <c r="F275" t="s">
        <v>26</v>
      </c>
      <c r="G275" t="s">
        <v>22</v>
      </c>
      <c r="H275">
        <v>5</v>
      </c>
      <c r="I275">
        <v>0</v>
      </c>
      <c r="J275">
        <v>425</v>
      </c>
      <c r="K275" t="s">
        <v>29</v>
      </c>
      <c r="L275" t="s">
        <v>55</v>
      </c>
      <c r="M275">
        <v>1</v>
      </c>
    </row>
    <row r="276" spans="1:13" x14ac:dyDescent="0.2">
      <c r="A276">
        <v>275</v>
      </c>
      <c r="B276" t="s">
        <v>19</v>
      </c>
      <c r="C276" s="1">
        <v>45640</v>
      </c>
      <c r="D276" t="s">
        <v>20</v>
      </c>
      <c r="E276" t="s">
        <v>15</v>
      </c>
      <c r="F276" t="s">
        <v>21</v>
      </c>
      <c r="G276" t="s">
        <v>22</v>
      </c>
      <c r="H276">
        <v>4</v>
      </c>
      <c r="I276">
        <v>0.2</v>
      </c>
      <c r="J276">
        <v>287.83999999999997</v>
      </c>
      <c r="K276" t="s">
        <v>80</v>
      </c>
      <c r="L276" t="s">
        <v>49</v>
      </c>
      <c r="M276" t="b">
        <v>1</v>
      </c>
    </row>
    <row r="277" spans="1:13" x14ac:dyDescent="0.2">
      <c r="A277">
        <v>276</v>
      </c>
      <c r="B277" t="s">
        <v>64</v>
      </c>
      <c r="C277" s="2">
        <v>45462</v>
      </c>
      <c r="D277" t="s">
        <v>65</v>
      </c>
      <c r="E277" t="s">
        <v>33</v>
      </c>
      <c r="F277" t="s">
        <v>21</v>
      </c>
      <c r="G277" t="s">
        <v>22</v>
      </c>
      <c r="H277">
        <v>2</v>
      </c>
      <c r="I277">
        <v>0</v>
      </c>
      <c r="J277">
        <v>149.9</v>
      </c>
      <c r="K277" t="s">
        <v>80</v>
      </c>
      <c r="L277" t="s">
        <v>23</v>
      </c>
      <c r="M277">
        <v>0</v>
      </c>
    </row>
    <row r="278" spans="1:13" x14ac:dyDescent="0.2">
      <c r="A278">
        <v>277</v>
      </c>
      <c r="B278" t="s">
        <v>56</v>
      </c>
      <c r="C278" s="2">
        <v>45333</v>
      </c>
      <c r="D278" t="s">
        <v>57</v>
      </c>
      <c r="E278" t="s">
        <v>48</v>
      </c>
      <c r="F278" t="s">
        <v>53</v>
      </c>
      <c r="G278" t="s">
        <v>54</v>
      </c>
      <c r="H278">
        <v>4</v>
      </c>
      <c r="I278">
        <v>0.15</v>
      </c>
      <c r="J278">
        <v>289</v>
      </c>
      <c r="K278" t="s">
        <v>36</v>
      </c>
      <c r="L278" t="s">
        <v>30</v>
      </c>
      <c r="M278">
        <v>1</v>
      </c>
    </row>
    <row r="279" spans="1:13" x14ac:dyDescent="0.2">
      <c r="A279">
        <v>278</v>
      </c>
      <c r="B279" t="s">
        <v>61</v>
      </c>
      <c r="C279" s="2">
        <v>45092</v>
      </c>
      <c r="D279" t="s">
        <v>62</v>
      </c>
      <c r="E279" t="s">
        <v>33</v>
      </c>
      <c r="F279" t="s">
        <v>21</v>
      </c>
      <c r="G279" t="s">
        <v>22</v>
      </c>
      <c r="H279">
        <v>1</v>
      </c>
      <c r="I279">
        <v>0.05</v>
      </c>
      <c r="J279">
        <v>33.24</v>
      </c>
      <c r="K279" t="s">
        <v>36</v>
      </c>
      <c r="L279" t="s">
        <v>41</v>
      </c>
      <c r="M279">
        <v>0</v>
      </c>
    </row>
    <row r="280" spans="1:13" x14ac:dyDescent="0.2">
      <c r="A280">
        <v>279</v>
      </c>
      <c r="B280" t="s">
        <v>42</v>
      </c>
      <c r="C280" s="2">
        <v>44992</v>
      </c>
      <c r="D280" t="s">
        <v>43</v>
      </c>
      <c r="E280" t="s">
        <v>15</v>
      </c>
      <c r="F280" t="s">
        <v>26</v>
      </c>
      <c r="G280" t="s">
        <v>22</v>
      </c>
      <c r="H280">
        <v>2</v>
      </c>
      <c r="I280" t="s">
        <v>60</v>
      </c>
      <c r="J280">
        <v>258</v>
      </c>
      <c r="K280" t="s">
        <v>27</v>
      </c>
      <c r="L280" t="s">
        <v>28</v>
      </c>
      <c r="M280" t="b">
        <v>1</v>
      </c>
    </row>
    <row r="281" spans="1:13" x14ac:dyDescent="0.2">
      <c r="A281">
        <v>280</v>
      </c>
      <c r="B281" t="s">
        <v>31</v>
      </c>
      <c r="C281" s="1">
        <v>45599</v>
      </c>
      <c r="D281" t="s">
        <v>32</v>
      </c>
      <c r="E281" t="s">
        <v>33</v>
      </c>
      <c r="F281" t="s">
        <v>26</v>
      </c>
      <c r="G281" t="s">
        <v>22</v>
      </c>
      <c r="H281">
        <v>4</v>
      </c>
      <c r="I281">
        <v>0.25</v>
      </c>
      <c r="J281">
        <v>239.85</v>
      </c>
      <c r="K281" t="s">
        <v>18</v>
      </c>
      <c r="L281" t="s">
        <v>23</v>
      </c>
      <c r="M281" t="b">
        <v>0</v>
      </c>
    </row>
    <row r="282" spans="1:13" x14ac:dyDescent="0.2">
      <c r="A282">
        <v>281</v>
      </c>
      <c r="B282" t="s">
        <v>31</v>
      </c>
      <c r="C282" s="2">
        <v>45612</v>
      </c>
      <c r="D282" t="s">
        <v>32</v>
      </c>
      <c r="E282" t="s">
        <v>33</v>
      </c>
      <c r="F282" t="s">
        <v>26</v>
      </c>
      <c r="G282" t="s">
        <v>22</v>
      </c>
      <c r="H282">
        <v>1</v>
      </c>
      <c r="I282">
        <v>0.1</v>
      </c>
      <c r="J282">
        <v>71.959999999999994</v>
      </c>
      <c r="K282" t="s">
        <v>52</v>
      </c>
      <c r="L282" t="s">
        <v>28</v>
      </c>
      <c r="M282" t="b">
        <v>0</v>
      </c>
    </row>
    <row r="283" spans="1:13" x14ac:dyDescent="0.2">
      <c r="A283">
        <v>282</v>
      </c>
      <c r="B283" t="s">
        <v>68</v>
      </c>
      <c r="C283" s="1">
        <v>45340</v>
      </c>
      <c r="D283" t="s">
        <v>69</v>
      </c>
      <c r="E283" t="s">
        <v>33</v>
      </c>
      <c r="G283" t="s">
        <v>25</v>
      </c>
      <c r="H283">
        <v>3</v>
      </c>
      <c r="I283">
        <v>0.05</v>
      </c>
      <c r="J283">
        <v>339.15</v>
      </c>
      <c r="K283" t="s">
        <v>29</v>
      </c>
      <c r="L283" t="s">
        <v>63</v>
      </c>
      <c r="M283" t="b">
        <v>0</v>
      </c>
    </row>
    <row r="284" spans="1:13" x14ac:dyDescent="0.2">
      <c r="A284">
        <v>283</v>
      </c>
      <c r="B284" t="s">
        <v>56</v>
      </c>
      <c r="C284" s="2">
        <v>45503</v>
      </c>
      <c r="D284" t="s">
        <v>57</v>
      </c>
      <c r="E284" t="s">
        <v>48</v>
      </c>
      <c r="F284" t="s">
        <v>53</v>
      </c>
      <c r="G284" t="s">
        <v>54</v>
      </c>
      <c r="H284">
        <v>5</v>
      </c>
      <c r="I284">
        <v>0.1</v>
      </c>
      <c r="J284">
        <v>382.5</v>
      </c>
      <c r="K284" t="s">
        <v>29</v>
      </c>
      <c r="M284">
        <v>1</v>
      </c>
    </row>
    <row r="285" spans="1:13" x14ac:dyDescent="0.2">
      <c r="A285">
        <v>284</v>
      </c>
      <c r="B285" t="s">
        <v>74</v>
      </c>
      <c r="C285" s="1">
        <v>45288</v>
      </c>
      <c r="D285" t="s">
        <v>75</v>
      </c>
      <c r="E285" t="s">
        <v>76</v>
      </c>
      <c r="F285" t="s">
        <v>16</v>
      </c>
      <c r="G285" t="s">
        <v>17</v>
      </c>
      <c r="H285">
        <v>2</v>
      </c>
      <c r="I285">
        <v>0.05</v>
      </c>
      <c r="J285">
        <v>85.4</v>
      </c>
      <c r="K285" t="s">
        <v>29</v>
      </c>
      <c r="L285" t="s">
        <v>49</v>
      </c>
      <c r="M285" t="s">
        <v>77</v>
      </c>
    </row>
    <row r="286" spans="1:13" x14ac:dyDescent="0.2">
      <c r="A286">
        <v>285</v>
      </c>
      <c r="B286" t="s">
        <v>83</v>
      </c>
      <c r="C286" s="2">
        <v>45202</v>
      </c>
      <c r="D286" t="s">
        <v>84</v>
      </c>
      <c r="E286" t="s">
        <v>48</v>
      </c>
      <c r="F286" t="s">
        <v>66</v>
      </c>
      <c r="G286" t="s">
        <v>67</v>
      </c>
      <c r="H286">
        <v>3</v>
      </c>
      <c r="I286">
        <v>0.15</v>
      </c>
      <c r="J286">
        <v>127.37</v>
      </c>
      <c r="K286" t="s">
        <v>80</v>
      </c>
      <c r="L286" t="s">
        <v>63</v>
      </c>
      <c r="M286">
        <v>0</v>
      </c>
    </row>
    <row r="287" spans="1:13" x14ac:dyDescent="0.2">
      <c r="A287">
        <v>286</v>
      </c>
      <c r="B287" t="s">
        <v>19</v>
      </c>
      <c r="C287" s="2">
        <v>45049</v>
      </c>
      <c r="D287" t="s">
        <v>25</v>
      </c>
      <c r="E287" t="s">
        <v>25</v>
      </c>
      <c r="F287" t="s">
        <v>34</v>
      </c>
      <c r="G287" t="s">
        <v>35</v>
      </c>
      <c r="H287">
        <v>5</v>
      </c>
      <c r="I287">
        <v>0.15</v>
      </c>
      <c r="J287">
        <v>382.29</v>
      </c>
      <c r="K287" t="s">
        <v>27</v>
      </c>
      <c r="L287" t="s">
        <v>45</v>
      </c>
      <c r="M287" t="s">
        <v>25</v>
      </c>
    </row>
    <row r="288" spans="1:13" x14ac:dyDescent="0.2">
      <c r="A288">
        <v>287</v>
      </c>
      <c r="B288" t="s">
        <v>81</v>
      </c>
      <c r="C288" s="2">
        <v>45213</v>
      </c>
      <c r="D288" t="s">
        <v>82</v>
      </c>
      <c r="E288" t="s">
        <v>15</v>
      </c>
      <c r="F288" t="s">
        <v>44</v>
      </c>
      <c r="H288">
        <v>3</v>
      </c>
      <c r="I288">
        <v>0.25</v>
      </c>
      <c r="J288">
        <v>179.89</v>
      </c>
      <c r="K288" t="s">
        <v>80</v>
      </c>
      <c r="L288" t="s">
        <v>45</v>
      </c>
      <c r="M288" t="s">
        <v>73</v>
      </c>
    </row>
    <row r="289" spans="1:13" x14ac:dyDescent="0.2">
      <c r="A289">
        <v>288</v>
      </c>
      <c r="B289" t="s">
        <v>24</v>
      </c>
      <c r="C289" s="2">
        <v>44935</v>
      </c>
      <c r="D289" t="s">
        <v>87</v>
      </c>
      <c r="E289" t="s">
        <v>39</v>
      </c>
      <c r="F289" t="s">
        <v>66</v>
      </c>
      <c r="G289" t="s">
        <v>67</v>
      </c>
      <c r="H289">
        <v>1</v>
      </c>
      <c r="I289">
        <v>0.25</v>
      </c>
      <c r="J289">
        <v>33.71</v>
      </c>
      <c r="K289" t="s">
        <v>36</v>
      </c>
      <c r="L289" t="s">
        <v>49</v>
      </c>
      <c r="M289" t="b">
        <v>1</v>
      </c>
    </row>
    <row r="290" spans="1:13" x14ac:dyDescent="0.2">
      <c r="A290">
        <v>289</v>
      </c>
      <c r="B290" t="s">
        <v>68</v>
      </c>
      <c r="C290" s="1">
        <v>45356</v>
      </c>
      <c r="D290" t="s">
        <v>69</v>
      </c>
      <c r="E290" t="s">
        <v>33</v>
      </c>
      <c r="F290" t="s">
        <v>40</v>
      </c>
      <c r="G290" t="s">
        <v>17</v>
      </c>
      <c r="H290">
        <v>2</v>
      </c>
      <c r="I290">
        <v>0.25</v>
      </c>
      <c r="J290">
        <v>178.5</v>
      </c>
      <c r="K290" t="s">
        <v>18</v>
      </c>
      <c r="L290" t="s">
        <v>28</v>
      </c>
      <c r="M290" t="b">
        <v>0</v>
      </c>
    </row>
    <row r="291" spans="1:13" x14ac:dyDescent="0.2">
      <c r="A291">
        <v>290</v>
      </c>
      <c r="B291" t="s">
        <v>19</v>
      </c>
      <c r="C291" s="1">
        <v>45076</v>
      </c>
      <c r="D291" t="s">
        <v>20</v>
      </c>
      <c r="E291" t="s">
        <v>15</v>
      </c>
      <c r="F291" t="s">
        <v>53</v>
      </c>
      <c r="G291" t="s">
        <v>54</v>
      </c>
      <c r="H291">
        <v>5</v>
      </c>
      <c r="I291">
        <v>0.2</v>
      </c>
      <c r="J291">
        <v>359.8</v>
      </c>
      <c r="K291" t="s">
        <v>18</v>
      </c>
      <c r="L291" t="s">
        <v>28</v>
      </c>
      <c r="M291" t="b">
        <v>1</v>
      </c>
    </row>
    <row r="292" spans="1:13" x14ac:dyDescent="0.2">
      <c r="A292">
        <v>291</v>
      </c>
      <c r="B292" t="s">
        <v>50</v>
      </c>
      <c r="C292" s="2">
        <v>45634</v>
      </c>
      <c r="D292" t="s">
        <v>51</v>
      </c>
      <c r="E292" t="s">
        <v>15</v>
      </c>
      <c r="F292" t="s">
        <v>44</v>
      </c>
      <c r="H292">
        <v>3</v>
      </c>
      <c r="I292">
        <v>0</v>
      </c>
      <c r="J292">
        <v>209.85</v>
      </c>
      <c r="K292" t="s">
        <v>27</v>
      </c>
      <c r="L292" t="s">
        <v>28</v>
      </c>
      <c r="M292">
        <v>0</v>
      </c>
    </row>
    <row r="293" spans="1:13" x14ac:dyDescent="0.2">
      <c r="A293">
        <v>292</v>
      </c>
      <c r="B293" t="s">
        <v>68</v>
      </c>
      <c r="C293" s="1">
        <v>45622</v>
      </c>
      <c r="D293" t="s">
        <v>69</v>
      </c>
      <c r="E293" t="s">
        <v>33</v>
      </c>
      <c r="F293" t="s">
        <v>53</v>
      </c>
      <c r="G293" t="s">
        <v>54</v>
      </c>
      <c r="H293">
        <v>1</v>
      </c>
      <c r="I293">
        <v>0.2</v>
      </c>
      <c r="J293">
        <v>95.2</v>
      </c>
      <c r="K293" t="s">
        <v>52</v>
      </c>
      <c r="L293" t="s">
        <v>55</v>
      </c>
      <c r="M293" t="b">
        <v>0</v>
      </c>
    </row>
    <row r="294" spans="1:13" x14ac:dyDescent="0.2">
      <c r="A294">
        <v>293</v>
      </c>
      <c r="B294" t="s">
        <v>42</v>
      </c>
      <c r="C294" s="2">
        <v>45075</v>
      </c>
      <c r="D294" t="s">
        <v>43</v>
      </c>
      <c r="E294" t="s">
        <v>15</v>
      </c>
      <c r="F294" t="s">
        <v>44</v>
      </c>
      <c r="H294">
        <v>4</v>
      </c>
      <c r="I294">
        <v>0.1</v>
      </c>
      <c r="J294">
        <v>464.4</v>
      </c>
      <c r="K294" t="s">
        <v>36</v>
      </c>
      <c r="L294" t="s">
        <v>41</v>
      </c>
      <c r="M294" t="b">
        <v>1</v>
      </c>
    </row>
    <row r="295" spans="1:13" x14ac:dyDescent="0.2">
      <c r="A295">
        <v>294</v>
      </c>
      <c r="B295" t="s">
        <v>88</v>
      </c>
      <c r="C295" s="2">
        <v>45382</v>
      </c>
      <c r="D295" t="s">
        <v>89</v>
      </c>
      <c r="E295" t="s">
        <v>33</v>
      </c>
      <c r="F295" t="s">
        <v>40</v>
      </c>
      <c r="G295" t="s">
        <v>17</v>
      </c>
      <c r="H295">
        <v>3</v>
      </c>
      <c r="I295">
        <v>0.1</v>
      </c>
      <c r="J295">
        <v>534.6</v>
      </c>
      <c r="K295" t="s">
        <v>52</v>
      </c>
      <c r="L295" t="s">
        <v>28</v>
      </c>
      <c r="M295" t="b">
        <v>0</v>
      </c>
    </row>
    <row r="296" spans="1:13" x14ac:dyDescent="0.2">
      <c r="A296">
        <v>295</v>
      </c>
      <c r="B296" t="s">
        <v>37</v>
      </c>
      <c r="C296" s="2">
        <v>44992</v>
      </c>
      <c r="D296" t="s">
        <v>38</v>
      </c>
      <c r="E296" t="s">
        <v>39</v>
      </c>
      <c r="F296" t="s">
        <v>16</v>
      </c>
      <c r="G296" t="s">
        <v>17</v>
      </c>
      <c r="H296">
        <v>2</v>
      </c>
      <c r="I296">
        <v>0.2</v>
      </c>
      <c r="J296">
        <v>103.92</v>
      </c>
      <c r="K296" t="s">
        <v>27</v>
      </c>
      <c r="L296" t="s">
        <v>55</v>
      </c>
      <c r="M296">
        <v>1</v>
      </c>
    </row>
    <row r="297" spans="1:13" x14ac:dyDescent="0.2">
      <c r="A297">
        <v>296</v>
      </c>
      <c r="B297" t="s">
        <v>50</v>
      </c>
      <c r="C297" s="2">
        <v>45568</v>
      </c>
      <c r="D297" t="s">
        <v>51</v>
      </c>
      <c r="E297" t="s">
        <v>15</v>
      </c>
      <c r="F297" t="s">
        <v>21</v>
      </c>
      <c r="G297" t="s">
        <v>22</v>
      </c>
      <c r="H297">
        <v>2</v>
      </c>
      <c r="I297">
        <v>0.05</v>
      </c>
      <c r="J297">
        <v>132.9</v>
      </c>
      <c r="K297" t="s">
        <v>29</v>
      </c>
      <c r="L297" t="s">
        <v>30</v>
      </c>
      <c r="M297">
        <v>0</v>
      </c>
    </row>
    <row r="298" spans="1:13" x14ac:dyDescent="0.2">
      <c r="A298">
        <v>297</v>
      </c>
      <c r="B298" t="s">
        <v>56</v>
      </c>
      <c r="C298" s="2">
        <v>45538</v>
      </c>
      <c r="D298" t="s">
        <v>57</v>
      </c>
      <c r="E298" t="s">
        <v>48</v>
      </c>
      <c r="F298" t="s">
        <v>53</v>
      </c>
      <c r="G298" t="s">
        <v>54</v>
      </c>
      <c r="H298">
        <v>4</v>
      </c>
      <c r="I298">
        <v>0</v>
      </c>
      <c r="J298">
        <v>340</v>
      </c>
      <c r="K298" t="s">
        <v>80</v>
      </c>
      <c r="L298" t="s">
        <v>45</v>
      </c>
      <c r="M298">
        <v>1</v>
      </c>
    </row>
    <row r="299" spans="1:13" x14ac:dyDescent="0.2">
      <c r="A299">
        <v>298</v>
      </c>
      <c r="B299" t="s">
        <v>24</v>
      </c>
      <c r="C299" s="2">
        <v>45086</v>
      </c>
      <c r="D299" t="s">
        <v>87</v>
      </c>
      <c r="E299" t="s">
        <v>39</v>
      </c>
      <c r="G299" t="s">
        <v>25</v>
      </c>
      <c r="H299">
        <v>3</v>
      </c>
      <c r="I299">
        <v>0.15</v>
      </c>
      <c r="J299">
        <v>114.62</v>
      </c>
      <c r="K299" t="s">
        <v>52</v>
      </c>
      <c r="L299" t="s">
        <v>28</v>
      </c>
      <c r="M299" t="b">
        <v>1</v>
      </c>
    </row>
    <row r="300" spans="1:13" x14ac:dyDescent="0.2">
      <c r="A300">
        <v>299</v>
      </c>
      <c r="B300" t="s">
        <v>50</v>
      </c>
      <c r="C300" s="2">
        <v>45163</v>
      </c>
      <c r="D300" t="s">
        <v>51</v>
      </c>
      <c r="E300" t="s">
        <v>15</v>
      </c>
      <c r="F300" t="s">
        <v>44</v>
      </c>
      <c r="H300">
        <v>1</v>
      </c>
      <c r="I300">
        <v>0.2</v>
      </c>
      <c r="J300">
        <v>55.96</v>
      </c>
      <c r="K300" t="s">
        <v>80</v>
      </c>
      <c r="L300" t="s">
        <v>30</v>
      </c>
      <c r="M300">
        <v>0</v>
      </c>
    </row>
    <row r="301" spans="1:13" x14ac:dyDescent="0.2">
      <c r="A301">
        <v>300</v>
      </c>
      <c r="B301" t="s">
        <v>64</v>
      </c>
      <c r="C301" s="1">
        <v>45554</v>
      </c>
      <c r="D301" t="s">
        <v>65</v>
      </c>
      <c r="E301" t="s">
        <v>33</v>
      </c>
      <c r="F301" t="s">
        <v>34</v>
      </c>
      <c r="G301" t="s">
        <v>35</v>
      </c>
      <c r="H301">
        <v>1</v>
      </c>
      <c r="I301">
        <v>0.2</v>
      </c>
      <c r="J301">
        <v>59.96</v>
      </c>
      <c r="K301" t="s">
        <v>80</v>
      </c>
      <c r="L301" t="s">
        <v>63</v>
      </c>
      <c r="M301">
        <v>0</v>
      </c>
    </row>
    <row r="302" spans="1:13" x14ac:dyDescent="0.2">
      <c r="A302">
        <v>301</v>
      </c>
      <c r="B302" t="s">
        <v>71</v>
      </c>
      <c r="C302" s="2">
        <v>45255</v>
      </c>
      <c r="D302" t="s">
        <v>72</v>
      </c>
      <c r="E302" t="s">
        <v>33</v>
      </c>
      <c r="F302" t="s">
        <v>44</v>
      </c>
      <c r="H302">
        <v>4</v>
      </c>
      <c r="I302">
        <v>0.1</v>
      </c>
      <c r="J302">
        <v>215.82</v>
      </c>
      <c r="K302" t="s">
        <v>18</v>
      </c>
      <c r="L302" t="s">
        <v>41</v>
      </c>
      <c r="M302" t="s">
        <v>73</v>
      </c>
    </row>
    <row r="303" spans="1:13" x14ac:dyDescent="0.2">
      <c r="A303">
        <v>302</v>
      </c>
      <c r="B303" t="s">
        <v>83</v>
      </c>
      <c r="C303" s="2">
        <v>45437</v>
      </c>
      <c r="D303" t="s">
        <v>25</v>
      </c>
      <c r="E303" t="s">
        <v>25</v>
      </c>
      <c r="F303" t="s">
        <v>26</v>
      </c>
      <c r="G303" t="s">
        <v>22</v>
      </c>
      <c r="H303">
        <v>2</v>
      </c>
      <c r="I303">
        <v>0.15</v>
      </c>
      <c r="J303">
        <v>84.92</v>
      </c>
      <c r="K303" t="s">
        <v>52</v>
      </c>
      <c r="L303" t="s">
        <v>28</v>
      </c>
      <c r="M303" t="s">
        <v>25</v>
      </c>
    </row>
    <row r="304" spans="1:13" x14ac:dyDescent="0.2">
      <c r="A304">
        <v>303</v>
      </c>
      <c r="B304" t="s">
        <v>31</v>
      </c>
      <c r="C304" s="1">
        <v>45051</v>
      </c>
      <c r="D304" t="s">
        <v>32</v>
      </c>
      <c r="E304" t="s">
        <v>33</v>
      </c>
      <c r="F304" t="s">
        <v>44</v>
      </c>
      <c r="H304">
        <v>2</v>
      </c>
      <c r="I304">
        <v>0.1</v>
      </c>
      <c r="J304">
        <v>143.91</v>
      </c>
      <c r="K304" t="s">
        <v>27</v>
      </c>
      <c r="L304" t="s">
        <v>28</v>
      </c>
      <c r="M304" t="b">
        <v>0</v>
      </c>
    </row>
    <row r="305" spans="1:13" x14ac:dyDescent="0.2">
      <c r="A305">
        <v>304</v>
      </c>
      <c r="B305" t="s">
        <v>83</v>
      </c>
      <c r="C305" s="1">
        <v>45571</v>
      </c>
      <c r="D305" t="s">
        <v>84</v>
      </c>
      <c r="E305" t="s">
        <v>48</v>
      </c>
      <c r="G305" t="s">
        <v>25</v>
      </c>
      <c r="H305">
        <v>4</v>
      </c>
      <c r="I305">
        <v>0.1</v>
      </c>
      <c r="J305">
        <v>179.82</v>
      </c>
      <c r="K305" t="s">
        <v>18</v>
      </c>
      <c r="L305" t="s">
        <v>49</v>
      </c>
      <c r="M305">
        <v>0</v>
      </c>
    </row>
    <row r="306" spans="1:13" x14ac:dyDescent="0.2">
      <c r="A306">
        <v>305</v>
      </c>
      <c r="B306" t="s">
        <v>46</v>
      </c>
      <c r="C306" s="2">
        <v>45098</v>
      </c>
      <c r="D306" t="s">
        <v>47</v>
      </c>
      <c r="E306" t="s">
        <v>48</v>
      </c>
      <c r="F306" t="s">
        <v>34</v>
      </c>
      <c r="G306" t="s">
        <v>35</v>
      </c>
      <c r="H306">
        <v>2</v>
      </c>
      <c r="I306">
        <v>0.2</v>
      </c>
      <c r="J306">
        <v>79.92</v>
      </c>
      <c r="K306" t="s">
        <v>27</v>
      </c>
      <c r="L306" t="s">
        <v>49</v>
      </c>
      <c r="M306">
        <v>0</v>
      </c>
    </row>
    <row r="307" spans="1:13" x14ac:dyDescent="0.2">
      <c r="A307">
        <v>306</v>
      </c>
      <c r="B307" t="s">
        <v>19</v>
      </c>
      <c r="C307" s="2">
        <v>45560</v>
      </c>
      <c r="D307" t="s">
        <v>20</v>
      </c>
      <c r="E307" t="s">
        <v>15</v>
      </c>
      <c r="F307" t="s">
        <v>16</v>
      </c>
      <c r="G307" t="s">
        <v>17</v>
      </c>
      <c r="H307">
        <v>2</v>
      </c>
      <c r="J307">
        <v>179.9</v>
      </c>
      <c r="K307" t="s">
        <v>36</v>
      </c>
      <c r="L307" t="s">
        <v>55</v>
      </c>
      <c r="M307" t="b">
        <v>1</v>
      </c>
    </row>
    <row r="308" spans="1:13" x14ac:dyDescent="0.2">
      <c r="A308">
        <v>307</v>
      </c>
      <c r="B308" t="s">
        <v>24</v>
      </c>
      <c r="C308" s="2">
        <v>45064</v>
      </c>
      <c r="D308" t="s">
        <v>87</v>
      </c>
      <c r="E308" t="s">
        <v>39</v>
      </c>
      <c r="F308" t="s">
        <v>40</v>
      </c>
      <c r="G308" t="s">
        <v>17</v>
      </c>
      <c r="H308">
        <v>2</v>
      </c>
      <c r="I308">
        <v>0</v>
      </c>
      <c r="J308">
        <v>89.9</v>
      </c>
      <c r="K308" t="s">
        <v>52</v>
      </c>
      <c r="L308" t="s">
        <v>28</v>
      </c>
      <c r="M308" t="b">
        <v>1</v>
      </c>
    </row>
    <row r="309" spans="1:13" x14ac:dyDescent="0.2">
      <c r="A309">
        <v>308</v>
      </c>
      <c r="B309" t="s">
        <v>64</v>
      </c>
      <c r="C309" s="2">
        <v>45085</v>
      </c>
      <c r="D309" t="s">
        <v>65</v>
      </c>
      <c r="E309" t="s">
        <v>33</v>
      </c>
      <c r="F309" t="s">
        <v>44</v>
      </c>
      <c r="H309">
        <v>5</v>
      </c>
      <c r="I309" t="s">
        <v>60</v>
      </c>
      <c r="J309">
        <v>374.75</v>
      </c>
      <c r="K309" t="s">
        <v>80</v>
      </c>
      <c r="L309" t="s">
        <v>55</v>
      </c>
      <c r="M309">
        <v>0</v>
      </c>
    </row>
    <row r="310" spans="1:13" x14ac:dyDescent="0.2">
      <c r="A310">
        <v>309</v>
      </c>
      <c r="B310" t="s">
        <v>88</v>
      </c>
      <c r="C310" s="2">
        <v>45626</v>
      </c>
      <c r="D310" t="s">
        <v>89</v>
      </c>
      <c r="E310" t="s">
        <v>33</v>
      </c>
      <c r="F310" t="s">
        <v>34</v>
      </c>
      <c r="G310" t="s">
        <v>35</v>
      </c>
      <c r="H310">
        <v>1</v>
      </c>
      <c r="I310">
        <v>0.2</v>
      </c>
      <c r="J310">
        <v>158.4</v>
      </c>
      <c r="K310" t="s">
        <v>80</v>
      </c>
      <c r="L310" t="s">
        <v>63</v>
      </c>
      <c r="M310" t="b">
        <v>0</v>
      </c>
    </row>
    <row r="311" spans="1:13" x14ac:dyDescent="0.2">
      <c r="A311">
        <v>310</v>
      </c>
      <c r="B311" t="s">
        <v>31</v>
      </c>
      <c r="C311" s="2">
        <v>45123</v>
      </c>
      <c r="D311" t="s">
        <v>32</v>
      </c>
      <c r="E311" t="s">
        <v>33</v>
      </c>
      <c r="G311" t="s">
        <v>25</v>
      </c>
      <c r="H311">
        <v>1</v>
      </c>
      <c r="I311">
        <v>0.05</v>
      </c>
      <c r="J311">
        <v>75.95</v>
      </c>
      <c r="K311" t="s">
        <v>29</v>
      </c>
      <c r="M311" t="b">
        <v>0</v>
      </c>
    </row>
    <row r="312" spans="1:13" x14ac:dyDescent="0.2">
      <c r="A312">
        <v>311</v>
      </c>
      <c r="B312" t="s">
        <v>13</v>
      </c>
      <c r="C312" s="2">
        <v>45581</v>
      </c>
      <c r="D312" t="s">
        <v>25</v>
      </c>
      <c r="E312" t="s">
        <v>25</v>
      </c>
      <c r="F312" t="s">
        <v>16</v>
      </c>
      <c r="G312" t="s">
        <v>17</v>
      </c>
      <c r="H312">
        <v>2</v>
      </c>
      <c r="I312">
        <v>0.25</v>
      </c>
      <c r="J312">
        <v>29.98</v>
      </c>
      <c r="K312" t="s">
        <v>29</v>
      </c>
      <c r="L312" t="s">
        <v>55</v>
      </c>
      <c r="M312" t="s">
        <v>25</v>
      </c>
    </row>
    <row r="313" spans="1:13" x14ac:dyDescent="0.2">
      <c r="A313">
        <v>312</v>
      </c>
      <c r="B313" t="s">
        <v>50</v>
      </c>
      <c r="C313" s="1">
        <v>45163</v>
      </c>
      <c r="D313" t="s">
        <v>51</v>
      </c>
      <c r="E313" t="s">
        <v>15</v>
      </c>
      <c r="F313" t="s">
        <v>16</v>
      </c>
      <c r="G313" t="s">
        <v>17</v>
      </c>
      <c r="H313">
        <v>1</v>
      </c>
      <c r="I313">
        <v>0.05</v>
      </c>
      <c r="J313">
        <v>66.45</v>
      </c>
      <c r="K313" t="s">
        <v>27</v>
      </c>
      <c r="L313" t="s">
        <v>55</v>
      </c>
      <c r="M313">
        <v>0</v>
      </c>
    </row>
    <row r="314" spans="1:13" x14ac:dyDescent="0.2">
      <c r="A314">
        <v>313</v>
      </c>
      <c r="B314" t="s">
        <v>24</v>
      </c>
      <c r="C314" s="2">
        <v>45490</v>
      </c>
      <c r="D314" t="s">
        <v>87</v>
      </c>
      <c r="E314" t="s">
        <v>39</v>
      </c>
      <c r="F314" t="s">
        <v>40</v>
      </c>
      <c r="G314" t="s">
        <v>17</v>
      </c>
      <c r="H314">
        <v>4</v>
      </c>
      <c r="I314">
        <v>0</v>
      </c>
      <c r="J314">
        <v>179.8</v>
      </c>
      <c r="K314" t="s">
        <v>18</v>
      </c>
      <c r="L314" t="s">
        <v>45</v>
      </c>
      <c r="M314" t="b">
        <v>1</v>
      </c>
    </row>
    <row r="315" spans="1:13" x14ac:dyDescent="0.2">
      <c r="A315">
        <v>314</v>
      </c>
      <c r="B315" t="s">
        <v>85</v>
      </c>
      <c r="C315" s="2">
        <v>45485</v>
      </c>
      <c r="D315" t="s">
        <v>86</v>
      </c>
      <c r="E315" t="s">
        <v>76</v>
      </c>
      <c r="F315" t="s">
        <v>40</v>
      </c>
      <c r="G315" t="s">
        <v>17</v>
      </c>
      <c r="H315">
        <v>4</v>
      </c>
      <c r="I315">
        <v>0.15</v>
      </c>
      <c r="J315">
        <v>305.83</v>
      </c>
      <c r="K315" t="s">
        <v>80</v>
      </c>
      <c r="M315" t="s">
        <v>73</v>
      </c>
    </row>
    <row r="316" spans="1:13" x14ac:dyDescent="0.2">
      <c r="A316">
        <v>315</v>
      </c>
      <c r="B316" t="s">
        <v>78</v>
      </c>
      <c r="C316" s="2">
        <v>45154</v>
      </c>
      <c r="D316" t="s">
        <v>79</v>
      </c>
      <c r="E316" t="s">
        <v>48</v>
      </c>
      <c r="F316" t="s">
        <v>26</v>
      </c>
      <c r="G316" t="s">
        <v>22</v>
      </c>
      <c r="H316">
        <v>2</v>
      </c>
      <c r="I316">
        <v>0.1</v>
      </c>
      <c r="J316">
        <v>71.91</v>
      </c>
      <c r="K316" t="s">
        <v>52</v>
      </c>
      <c r="L316" t="s">
        <v>23</v>
      </c>
      <c r="M316">
        <v>1</v>
      </c>
    </row>
    <row r="317" spans="1:13" x14ac:dyDescent="0.2">
      <c r="A317">
        <v>316</v>
      </c>
      <c r="B317" t="s">
        <v>46</v>
      </c>
      <c r="C317" s="2">
        <v>45068</v>
      </c>
      <c r="D317" t="s">
        <v>47</v>
      </c>
      <c r="E317" t="s">
        <v>48</v>
      </c>
      <c r="F317" t="s">
        <v>66</v>
      </c>
      <c r="G317" t="s">
        <v>67</v>
      </c>
      <c r="H317">
        <v>1</v>
      </c>
      <c r="I317">
        <v>0.25</v>
      </c>
      <c r="J317">
        <v>37.46</v>
      </c>
      <c r="K317" t="s">
        <v>18</v>
      </c>
      <c r="L317" t="s">
        <v>49</v>
      </c>
      <c r="M317">
        <v>0</v>
      </c>
    </row>
    <row r="318" spans="1:13" x14ac:dyDescent="0.2">
      <c r="A318">
        <v>317</v>
      </c>
      <c r="B318" t="s">
        <v>83</v>
      </c>
      <c r="C318" s="2">
        <v>45584</v>
      </c>
      <c r="D318" t="s">
        <v>84</v>
      </c>
      <c r="E318" t="s">
        <v>48</v>
      </c>
      <c r="G318" t="s">
        <v>25</v>
      </c>
      <c r="H318">
        <v>2</v>
      </c>
      <c r="I318">
        <v>0.25</v>
      </c>
      <c r="J318">
        <v>74.930000000000007</v>
      </c>
      <c r="K318" t="s">
        <v>80</v>
      </c>
      <c r="L318" t="s">
        <v>55</v>
      </c>
      <c r="M318">
        <v>0</v>
      </c>
    </row>
    <row r="319" spans="1:13" x14ac:dyDescent="0.2">
      <c r="A319">
        <v>318</v>
      </c>
      <c r="B319" t="s">
        <v>19</v>
      </c>
      <c r="C319" s="1">
        <v>45239</v>
      </c>
      <c r="D319" t="s">
        <v>25</v>
      </c>
      <c r="E319" t="s">
        <v>25</v>
      </c>
      <c r="G319" t="s">
        <v>25</v>
      </c>
      <c r="H319">
        <v>5</v>
      </c>
      <c r="I319">
        <v>0</v>
      </c>
      <c r="J319">
        <v>449.75</v>
      </c>
      <c r="K319" t="s">
        <v>27</v>
      </c>
      <c r="L319" t="s">
        <v>28</v>
      </c>
      <c r="M319" t="s">
        <v>25</v>
      </c>
    </row>
    <row r="320" spans="1:13" x14ac:dyDescent="0.2">
      <c r="A320">
        <v>319</v>
      </c>
      <c r="B320" t="s">
        <v>71</v>
      </c>
      <c r="C320" s="2">
        <v>45223</v>
      </c>
      <c r="D320" t="s">
        <v>72</v>
      </c>
      <c r="E320" t="s">
        <v>33</v>
      </c>
      <c r="F320" t="s">
        <v>44</v>
      </c>
      <c r="H320">
        <v>5</v>
      </c>
      <c r="I320">
        <v>0</v>
      </c>
      <c r="J320">
        <v>299.75</v>
      </c>
      <c r="K320" t="s">
        <v>29</v>
      </c>
      <c r="L320" t="s">
        <v>63</v>
      </c>
      <c r="M320" t="s">
        <v>73</v>
      </c>
    </row>
    <row r="321" spans="1:13" x14ac:dyDescent="0.2">
      <c r="A321">
        <v>320</v>
      </c>
      <c r="B321" t="s">
        <v>61</v>
      </c>
      <c r="C321" s="1">
        <v>45594</v>
      </c>
      <c r="D321" t="s">
        <v>62</v>
      </c>
      <c r="E321" t="s">
        <v>33</v>
      </c>
      <c r="F321" t="s">
        <v>66</v>
      </c>
      <c r="G321" t="s">
        <v>67</v>
      </c>
      <c r="H321">
        <v>4</v>
      </c>
      <c r="I321">
        <v>0.05</v>
      </c>
      <c r="J321">
        <v>132.96</v>
      </c>
      <c r="K321" t="s">
        <v>29</v>
      </c>
      <c r="L321" t="s">
        <v>41</v>
      </c>
      <c r="M321">
        <v>0</v>
      </c>
    </row>
    <row r="322" spans="1:13" x14ac:dyDescent="0.2">
      <c r="A322">
        <v>321</v>
      </c>
      <c r="B322" t="s">
        <v>46</v>
      </c>
      <c r="C322" s="2">
        <v>45122</v>
      </c>
      <c r="D322" t="s">
        <v>47</v>
      </c>
      <c r="E322" t="s">
        <v>48</v>
      </c>
      <c r="F322" t="s">
        <v>16</v>
      </c>
      <c r="G322" t="s">
        <v>17</v>
      </c>
      <c r="H322">
        <v>4</v>
      </c>
      <c r="I322">
        <v>0.2</v>
      </c>
      <c r="J322">
        <v>159.84</v>
      </c>
      <c r="K322" t="s">
        <v>52</v>
      </c>
      <c r="L322" t="s">
        <v>49</v>
      </c>
      <c r="M322">
        <v>0</v>
      </c>
    </row>
    <row r="323" spans="1:13" x14ac:dyDescent="0.2">
      <c r="A323">
        <v>322</v>
      </c>
      <c r="B323" t="s">
        <v>58</v>
      </c>
      <c r="C323" s="2">
        <v>45014</v>
      </c>
      <c r="D323" t="s">
        <v>59</v>
      </c>
      <c r="E323" t="s">
        <v>15</v>
      </c>
      <c r="F323" t="s">
        <v>44</v>
      </c>
      <c r="H323">
        <v>2</v>
      </c>
      <c r="I323">
        <v>0.05</v>
      </c>
      <c r="J323">
        <v>113.9</v>
      </c>
      <c r="K323" t="s">
        <v>18</v>
      </c>
      <c r="L323" t="s">
        <v>49</v>
      </c>
      <c r="M323">
        <v>1</v>
      </c>
    </row>
    <row r="324" spans="1:13" x14ac:dyDescent="0.2">
      <c r="A324">
        <v>323</v>
      </c>
      <c r="B324" t="s">
        <v>24</v>
      </c>
      <c r="C324" s="2">
        <v>45477</v>
      </c>
      <c r="D324" t="s">
        <v>87</v>
      </c>
      <c r="E324" t="s">
        <v>39</v>
      </c>
      <c r="F324" t="s">
        <v>53</v>
      </c>
      <c r="G324" t="s">
        <v>54</v>
      </c>
      <c r="H324">
        <v>4</v>
      </c>
      <c r="I324">
        <v>0</v>
      </c>
      <c r="J324">
        <v>179.8</v>
      </c>
      <c r="K324" t="s">
        <v>18</v>
      </c>
      <c r="L324" t="s">
        <v>49</v>
      </c>
      <c r="M324" t="b">
        <v>1</v>
      </c>
    </row>
    <row r="325" spans="1:13" x14ac:dyDescent="0.2">
      <c r="A325">
        <v>324</v>
      </c>
      <c r="B325" t="s">
        <v>64</v>
      </c>
      <c r="C325" s="1">
        <v>45640</v>
      </c>
      <c r="D325" t="s">
        <v>65</v>
      </c>
      <c r="E325" t="s">
        <v>33</v>
      </c>
      <c r="F325" t="s">
        <v>26</v>
      </c>
      <c r="G325" t="s">
        <v>22</v>
      </c>
      <c r="H325">
        <v>2</v>
      </c>
      <c r="I325">
        <v>0</v>
      </c>
      <c r="J325">
        <v>149.9</v>
      </c>
      <c r="K325" t="s">
        <v>18</v>
      </c>
      <c r="L325" t="s">
        <v>30</v>
      </c>
      <c r="M325">
        <v>0</v>
      </c>
    </row>
    <row r="326" spans="1:13" x14ac:dyDescent="0.2">
      <c r="A326">
        <v>325</v>
      </c>
      <c r="B326" t="s">
        <v>13</v>
      </c>
      <c r="C326" s="1">
        <v>45447</v>
      </c>
      <c r="D326" t="s">
        <v>14</v>
      </c>
      <c r="E326" t="s">
        <v>15</v>
      </c>
      <c r="F326" t="s">
        <v>16</v>
      </c>
      <c r="G326" t="s">
        <v>17</v>
      </c>
      <c r="H326">
        <v>3</v>
      </c>
      <c r="I326">
        <v>0.2</v>
      </c>
      <c r="J326">
        <v>47.98</v>
      </c>
      <c r="K326" t="s">
        <v>29</v>
      </c>
      <c r="L326" t="s">
        <v>63</v>
      </c>
      <c r="M326">
        <v>0</v>
      </c>
    </row>
    <row r="327" spans="1:13" x14ac:dyDescent="0.2">
      <c r="A327">
        <v>326</v>
      </c>
      <c r="B327" t="s">
        <v>58</v>
      </c>
      <c r="C327" s="1">
        <v>45329</v>
      </c>
      <c r="D327" t="s">
        <v>59</v>
      </c>
      <c r="E327" t="s">
        <v>15</v>
      </c>
      <c r="F327" t="s">
        <v>26</v>
      </c>
      <c r="G327" t="s">
        <v>22</v>
      </c>
      <c r="H327">
        <v>2</v>
      </c>
      <c r="I327">
        <v>0.1</v>
      </c>
      <c r="J327">
        <v>107.91</v>
      </c>
      <c r="K327" t="s">
        <v>29</v>
      </c>
      <c r="L327" t="s">
        <v>49</v>
      </c>
      <c r="M327">
        <v>1</v>
      </c>
    </row>
    <row r="328" spans="1:13" x14ac:dyDescent="0.2">
      <c r="A328">
        <v>327</v>
      </c>
      <c r="B328" t="s">
        <v>74</v>
      </c>
      <c r="C328" s="2">
        <v>45276</v>
      </c>
      <c r="D328" t="s">
        <v>75</v>
      </c>
      <c r="E328" t="s">
        <v>76</v>
      </c>
      <c r="F328" t="s">
        <v>53</v>
      </c>
      <c r="G328" t="s">
        <v>54</v>
      </c>
      <c r="H328">
        <v>1</v>
      </c>
      <c r="I328">
        <v>0.1</v>
      </c>
      <c r="J328">
        <v>40.46</v>
      </c>
      <c r="K328" t="s">
        <v>18</v>
      </c>
      <c r="L328" t="s">
        <v>63</v>
      </c>
      <c r="M328" t="s">
        <v>77</v>
      </c>
    </row>
    <row r="329" spans="1:13" x14ac:dyDescent="0.2">
      <c r="A329">
        <v>328</v>
      </c>
      <c r="B329" t="s">
        <v>81</v>
      </c>
      <c r="C329" s="2">
        <v>45264</v>
      </c>
      <c r="D329" t="s">
        <v>82</v>
      </c>
      <c r="E329" t="s">
        <v>15</v>
      </c>
      <c r="F329" t="s">
        <v>34</v>
      </c>
      <c r="G329" t="s">
        <v>35</v>
      </c>
      <c r="H329">
        <v>2</v>
      </c>
      <c r="I329">
        <v>0.2</v>
      </c>
      <c r="J329">
        <v>127.92</v>
      </c>
      <c r="K329" t="s">
        <v>80</v>
      </c>
      <c r="L329" t="s">
        <v>30</v>
      </c>
      <c r="M329" t="s">
        <v>73</v>
      </c>
    </row>
    <row r="330" spans="1:13" x14ac:dyDescent="0.2">
      <c r="A330">
        <v>329</v>
      </c>
      <c r="B330" t="s">
        <v>85</v>
      </c>
      <c r="C330" s="1">
        <v>45497</v>
      </c>
      <c r="D330" t="s">
        <v>86</v>
      </c>
      <c r="E330" t="s">
        <v>76</v>
      </c>
      <c r="F330" t="s">
        <v>66</v>
      </c>
      <c r="G330" t="s">
        <v>67</v>
      </c>
      <c r="H330">
        <v>2</v>
      </c>
      <c r="I330">
        <v>0</v>
      </c>
      <c r="J330">
        <v>179.9</v>
      </c>
      <c r="K330" t="s">
        <v>27</v>
      </c>
      <c r="L330" t="s">
        <v>49</v>
      </c>
      <c r="M330" t="s">
        <v>73</v>
      </c>
    </row>
    <row r="331" spans="1:13" x14ac:dyDescent="0.2">
      <c r="A331">
        <v>330</v>
      </c>
      <c r="B331" t="s">
        <v>85</v>
      </c>
      <c r="C331" s="2">
        <v>45119</v>
      </c>
      <c r="D331" t="s">
        <v>86</v>
      </c>
      <c r="E331" t="s">
        <v>76</v>
      </c>
      <c r="F331" t="s">
        <v>21</v>
      </c>
      <c r="G331" t="s">
        <v>22</v>
      </c>
      <c r="H331">
        <v>3</v>
      </c>
      <c r="I331">
        <v>0.25</v>
      </c>
      <c r="J331">
        <v>202.39</v>
      </c>
      <c r="K331" t="s">
        <v>18</v>
      </c>
      <c r="L331" t="s">
        <v>30</v>
      </c>
      <c r="M331" t="s">
        <v>73</v>
      </c>
    </row>
    <row r="332" spans="1:13" x14ac:dyDescent="0.2">
      <c r="A332">
        <v>331</v>
      </c>
      <c r="B332" t="s">
        <v>13</v>
      </c>
      <c r="C332" s="1">
        <v>45441</v>
      </c>
      <c r="D332" t="s">
        <v>14</v>
      </c>
      <c r="E332" t="s">
        <v>15</v>
      </c>
      <c r="F332" t="s">
        <v>34</v>
      </c>
      <c r="G332" t="s">
        <v>35</v>
      </c>
      <c r="H332">
        <v>3</v>
      </c>
      <c r="I332">
        <v>0</v>
      </c>
      <c r="J332">
        <v>59.97</v>
      </c>
      <c r="K332" t="s">
        <v>18</v>
      </c>
      <c r="L332" t="s">
        <v>41</v>
      </c>
      <c r="M332">
        <v>0</v>
      </c>
    </row>
    <row r="333" spans="1:13" x14ac:dyDescent="0.2">
      <c r="A333">
        <v>332</v>
      </c>
      <c r="B333" t="s">
        <v>64</v>
      </c>
      <c r="C333" s="2">
        <v>44994</v>
      </c>
      <c r="D333" t="s">
        <v>65</v>
      </c>
      <c r="E333" t="s">
        <v>33</v>
      </c>
      <c r="F333" t="s">
        <v>26</v>
      </c>
      <c r="G333" t="s">
        <v>22</v>
      </c>
      <c r="H333">
        <v>4</v>
      </c>
      <c r="I333">
        <v>0.05</v>
      </c>
      <c r="J333">
        <v>284.81</v>
      </c>
      <c r="K333" t="s">
        <v>18</v>
      </c>
      <c r="L333" t="s">
        <v>63</v>
      </c>
      <c r="M333">
        <v>0</v>
      </c>
    </row>
    <row r="334" spans="1:13" x14ac:dyDescent="0.2">
      <c r="A334">
        <v>333</v>
      </c>
      <c r="B334" t="s">
        <v>71</v>
      </c>
      <c r="C334" s="1">
        <v>45512</v>
      </c>
      <c r="D334" t="s">
        <v>72</v>
      </c>
      <c r="E334" t="s">
        <v>33</v>
      </c>
      <c r="F334" t="s">
        <v>26</v>
      </c>
      <c r="G334" t="s">
        <v>22</v>
      </c>
      <c r="H334">
        <v>4</v>
      </c>
      <c r="I334">
        <v>0</v>
      </c>
      <c r="J334">
        <v>239.8</v>
      </c>
      <c r="K334" t="s">
        <v>80</v>
      </c>
      <c r="M334" t="s">
        <v>73</v>
      </c>
    </row>
    <row r="335" spans="1:13" x14ac:dyDescent="0.2">
      <c r="A335">
        <v>334</v>
      </c>
      <c r="B335" t="s">
        <v>58</v>
      </c>
      <c r="C335" s="2">
        <v>45225</v>
      </c>
      <c r="D335" t="s">
        <v>59</v>
      </c>
      <c r="E335" t="s">
        <v>15</v>
      </c>
      <c r="F335" t="s">
        <v>21</v>
      </c>
      <c r="G335" t="s">
        <v>22</v>
      </c>
      <c r="H335">
        <v>5</v>
      </c>
      <c r="I335">
        <v>0.2</v>
      </c>
      <c r="J335">
        <v>239.8</v>
      </c>
      <c r="K335" t="s">
        <v>18</v>
      </c>
      <c r="M335">
        <v>1</v>
      </c>
    </row>
    <row r="336" spans="1:13" x14ac:dyDescent="0.2">
      <c r="A336">
        <v>335</v>
      </c>
      <c r="B336" t="s">
        <v>24</v>
      </c>
      <c r="C336" s="1">
        <v>45526</v>
      </c>
      <c r="D336" t="s">
        <v>87</v>
      </c>
      <c r="E336" t="s">
        <v>39</v>
      </c>
      <c r="F336" t="s">
        <v>66</v>
      </c>
      <c r="G336" t="s">
        <v>67</v>
      </c>
      <c r="H336">
        <v>4</v>
      </c>
      <c r="I336" t="s">
        <v>60</v>
      </c>
      <c r="J336">
        <v>179.8</v>
      </c>
      <c r="K336" t="s">
        <v>18</v>
      </c>
      <c r="L336" t="s">
        <v>55</v>
      </c>
      <c r="M336" t="b">
        <v>1</v>
      </c>
    </row>
    <row r="337" spans="1:13" x14ac:dyDescent="0.2">
      <c r="A337">
        <v>336</v>
      </c>
      <c r="B337" t="s">
        <v>88</v>
      </c>
      <c r="C337" s="2">
        <v>45650</v>
      </c>
      <c r="D337" t="s">
        <v>89</v>
      </c>
      <c r="E337" t="s">
        <v>33</v>
      </c>
      <c r="F337" t="s">
        <v>53</v>
      </c>
      <c r="G337" t="s">
        <v>54</v>
      </c>
      <c r="H337">
        <v>2</v>
      </c>
      <c r="I337">
        <v>0</v>
      </c>
      <c r="J337">
        <v>396</v>
      </c>
      <c r="K337" t="s">
        <v>27</v>
      </c>
      <c r="L337" t="s">
        <v>55</v>
      </c>
      <c r="M337" t="b">
        <v>0</v>
      </c>
    </row>
    <row r="338" spans="1:13" x14ac:dyDescent="0.2">
      <c r="A338">
        <v>337</v>
      </c>
      <c r="B338" t="s">
        <v>58</v>
      </c>
      <c r="C338" s="2">
        <v>45075</v>
      </c>
      <c r="D338" t="s">
        <v>59</v>
      </c>
      <c r="E338" t="s">
        <v>15</v>
      </c>
      <c r="F338" t="s">
        <v>21</v>
      </c>
      <c r="G338" t="s">
        <v>22</v>
      </c>
      <c r="H338">
        <v>2</v>
      </c>
      <c r="I338">
        <v>0.15</v>
      </c>
      <c r="J338">
        <v>101.92</v>
      </c>
      <c r="K338" t="s">
        <v>18</v>
      </c>
      <c r="L338" t="s">
        <v>45</v>
      </c>
      <c r="M338">
        <v>1</v>
      </c>
    </row>
    <row r="339" spans="1:13" x14ac:dyDescent="0.2">
      <c r="A339">
        <v>338</v>
      </c>
      <c r="B339" t="s">
        <v>37</v>
      </c>
      <c r="C339" s="2">
        <v>45436</v>
      </c>
      <c r="D339" t="s">
        <v>38</v>
      </c>
      <c r="E339" t="s">
        <v>39</v>
      </c>
      <c r="F339" t="s">
        <v>66</v>
      </c>
      <c r="G339" t="s">
        <v>67</v>
      </c>
      <c r="H339">
        <v>1</v>
      </c>
      <c r="I339">
        <v>0.1</v>
      </c>
      <c r="J339">
        <v>58.46</v>
      </c>
      <c r="K339" t="s">
        <v>29</v>
      </c>
      <c r="L339" t="s">
        <v>23</v>
      </c>
      <c r="M339">
        <v>1</v>
      </c>
    </row>
    <row r="340" spans="1:13" x14ac:dyDescent="0.2">
      <c r="A340">
        <v>339</v>
      </c>
      <c r="B340" t="s">
        <v>71</v>
      </c>
      <c r="C340" s="1">
        <v>45211</v>
      </c>
      <c r="D340" t="s">
        <v>72</v>
      </c>
      <c r="E340" t="s">
        <v>33</v>
      </c>
      <c r="F340" t="s">
        <v>16</v>
      </c>
      <c r="G340" t="s">
        <v>17</v>
      </c>
      <c r="H340">
        <v>5</v>
      </c>
      <c r="I340">
        <v>0</v>
      </c>
      <c r="J340">
        <v>299.75</v>
      </c>
      <c r="K340" t="s">
        <v>80</v>
      </c>
      <c r="L340" t="s">
        <v>63</v>
      </c>
      <c r="M340" t="s">
        <v>73</v>
      </c>
    </row>
    <row r="341" spans="1:13" x14ac:dyDescent="0.2">
      <c r="A341">
        <v>340</v>
      </c>
      <c r="B341" t="s">
        <v>88</v>
      </c>
      <c r="C341" s="2">
        <v>45109</v>
      </c>
      <c r="D341" t="s">
        <v>89</v>
      </c>
      <c r="E341" t="s">
        <v>33</v>
      </c>
      <c r="F341" t="s">
        <v>53</v>
      </c>
      <c r="G341" t="s">
        <v>54</v>
      </c>
      <c r="H341">
        <v>1</v>
      </c>
      <c r="I341">
        <v>0</v>
      </c>
      <c r="J341">
        <v>198</v>
      </c>
      <c r="K341" t="s">
        <v>29</v>
      </c>
      <c r="L341" t="s">
        <v>55</v>
      </c>
      <c r="M341" t="b">
        <v>0</v>
      </c>
    </row>
    <row r="342" spans="1:13" x14ac:dyDescent="0.2">
      <c r="A342">
        <v>341</v>
      </c>
      <c r="B342" t="s">
        <v>42</v>
      </c>
      <c r="C342" s="2">
        <v>44996</v>
      </c>
      <c r="D342" t="s">
        <v>43</v>
      </c>
      <c r="E342" t="s">
        <v>15</v>
      </c>
      <c r="F342" t="s">
        <v>26</v>
      </c>
      <c r="G342" t="s">
        <v>22</v>
      </c>
      <c r="H342">
        <v>3</v>
      </c>
      <c r="I342">
        <v>0.15</v>
      </c>
      <c r="J342">
        <v>328.95</v>
      </c>
      <c r="K342" t="s">
        <v>29</v>
      </c>
      <c r="L342" t="s">
        <v>49</v>
      </c>
      <c r="M342" t="b">
        <v>1</v>
      </c>
    </row>
    <row r="343" spans="1:13" x14ac:dyDescent="0.2">
      <c r="A343">
        <v>342</v>
      </c>
      <c r="B343" t="s">
        <v>37</v>
      </c>
      <c r="C343" s="1">
        <v>45571</v>
      </c>
      <c r="D343" t="s">
        <v>38</v>
      </c>
      <c r="E343" t="s">
        <v>39</v>
      </c>
      <c r="F343" t="s">
        <v>34</v>
      </c>
      <c r="G343" t="s">
        <v>35</v>
      </c>
      <c r="H343">
        <v>5</v>
      </c>
      <c r="I343">
        <v>0</v>
      </c>
      <c r="J343">
        <v>324.75</v>
      </c>
      <c r="K343" t="s">
        <v>80</v>
      </c>
      <c r="L343" t="s">
        <v>55</v>
      </c>
      <c r="M343">
        <v>1</v>
      </c>
    </row>
    <row r="344" spans="1:13" x14ac:dyDescent="0.2">
      <c r="A344">
        <v>343</v>
      </c>
      <c r="B344" t="s">
        <v>61</v>
      </c>
      <c r="C344" s="1">
        <v>45111</v>
      </c>
      <c r="D344" t="s">
        <v>62</v>
      </c>
      <c r="E344" t="s">
        <v>33</v>
      </c>
      <c r="F344" t="s">
        <v>40</v>
      </c>
      <c r="G344" t="s">
        <v>17</v>
      </c>
      <c r="H344">
        <v>5</v>
      </c>
      <c r="I344">
        <v>0.25</v>
      </c>
      <c r="J344">
        <v>131.21</v>
      </c>
      <c r="K344" t="s">
        <v>29</v>
      </c>
      <c r="L344" t="s">
        <v>41</v>
      </c>
      <c r="M344">
        <v>0</v>
      </c>
    </row>
    <row r="345" spans="1:13" x14ac:dyDescent="0.2">
      <c r="A345">
        <v>344</v>
      </c>
      <c r="B345" t="s">
        <v>85</v>
      </c>
      <c r="C345" s="2">
        <v>45579</v>
      </c>
      <c r="D345" t="s">
        <v>86</v>
      </c>
      <c r="E345" t="s">
        <v>76</v>
      </c>
      <c r="G345" t="s">
        <v>25</v>
      </c>
      <c r="H345">
        <v>1</v>
      </c>
      <c r="I345">
        <v>0.15</v>
      </c>
      <c r="J345">
        <v>76.459999999999994</v>
      </c>
      <c r="K345" t="s">
        <v>80</v>
      </c>
      <c r="L345" t="s">
        <v>49</v>
      </c>
      <c r="M345" t="s">
        <v>73</v>
      </c>
    </row>
    <row r="346" spans="1:13" x14ac:dyDescent="0.2">
      <c r="A346">
        <v>345</v>
      </c>
      <c r="B346" t="s">
        <v>74</v>
      </c>
      <c r="C346" s="2">
        <v>45265</v>
      </c>
      <c r="D346" t="s">
        <v>75</v>
      </c>
      <c r="E346" t="s">
        <v>76</v>
      </c>
      <c r="F346" t="s">
        <v>40</v>
      </c>
      <c r="G346" t="s">
        <v>17</v>
      </c>
      <c r="H346">
        <v>5</v>
      </c>
      <c r="J346">
        <v>224.75</v>
      </c>
      <c r="K346" t="s">
        <v>18</v>
      </c>
      <c r="L346" t="s">
        <v>45</v>
      </c>
      <c r="M346" t="s">
        <v>77</v>
      </c>
    </row>
    <row r="347" spans="1:13" x14ac:dyDescent="0.2">
      <c r="A347">
        <v>346</v>
      </c>
      <c r="B347" t="s">
        <v>24</v>
      </c>
      <c r="C347" s="2">
        <v>45621</v>
      </c>
      <c r="D347" t="s">
        <v>87</v>
      </c>
      <c r="E347" t="s">
        <v>39</v>
      </c>
      <c r="F347" t="s">
        <v>40</v>
      </c>
      <c r="G347" t="s">
        <v>17</v>
      </c>
      <c r="H347">
        <v>4</v>
      </c>
      <c r="I347">
        <v>0</v>
      </c>
      <c r="J347">
        <v>179.8</v>
      </c>
      <c r="K347" t="s">
        <v>80</v>
      </c>
      <c r="L347" t="s">
        <v>30</v>
      </c>
      <c r="M347" t="b">
        <v>1</v>
      </c>
    </row>
    <row r="348" spans="1:13" x14ac:dyDescent="0.2">
      <c r="A348">
        <v>347</v>
      </c>
      <c r="B348" t="s">
        <v>64</v>
      </c>
      <c r="C348" s="2">
        <v>45474</v>
      </c>
      <c r="D348" t="s">
        <v>65</v>
      </c>
      <c r="E348" t="s">
        <v>33</v>
      </c>
      <c r="F348" t="s">
        <v>66</v>
      </c>
      <c r="G348" t="s">
        <v>67</v>
      </c>
      <c r="H348">
        <v>1</v>
      </c>
      <c r="I348">
        <v>0.15</v>
      </c>
      <c r="J348">
        <v>63.71</v>
      </c>
      <c r="K348" t="s">
        <v>36</v>
      </c>
      <c r="L348" t="s">
        <v>28</v>
      </c>
      <c r="M348">
        <v>0</v>
      </c>
    </row>
    <row r="349" spans="1:13" x14ac:dyDescent="0.2">
      <c r="A349">
        <v>348</v>
      </c>
      <c r="B349" t="s">
        <v>19</v>
      </c>
      <c r="C349" s="2">
        <v>45464</v>
      </c>
      <c r="D349" t="s">
        <v>20</v>
      </c>
      <c r="E349" t="s">
        <v>15</v>
      </c>
      <c r="F349" t="s">
        <v>44</v>
      </c>
      <c r="H349">
        <v>3</v>
      </c>
      <c r="I349">
        <v>0.25</v>
      </c>
      <c r="J349">
        <v>202.39</v>
      </c>
      <c r="K349" t="s">
        <v>18</v>
      </c>
      <c r="L349" t="s">
        <v>30</v>
      </c>
      <c r="M349" t="b">
        <v>1</v>
      </c>
    </row>
    <row r="350" spans="1:13" x14ac:dyDescent="0.2">
      <c r="A350">
        <v>349</v>
      </c>
      <c r="B350" t="s">
        <v>37</v>
      </c>
      <c r="C350" s="2">
        <v>45073</v>
      </c>
      <c r="D350" t="s">
        <v>38</v>
      </c>
      <c r="E350" t="s">
        <v>39</v>
      </c>
      <c r="F350" t="s">
        <v>66</v>
      </c>
      <c r="G350" t="s">
        <v>67</v>
      </c>
      <c r="H350">
        <v>3</v>
      </c>
      <c r="I350">
        <v>0.25</v>
      </c>
      <c r="J350">
        <v>146.13999999999999</v>
      </c>
      <c r="K350" t="s">
        <v>52</v>
      </c>
      <c r="L350" t="s">
        <v>30</v>
      </c>
      <c r="M350">
        <v>1</v>
      </c>
    </row>
    <row r="351" spans="1:13" x14ac:dyDescent="0.2">
      <c r="A351">
        <v>350</v>
      </c>
      <c r="B351" t="s">
        <v>50</v>
      </c>
      <c r="C351" s="2">
        <v>44974</v>
      </c>
      <c r="D351" t="s">
        <v>51</v>
      </c>
      <c r="E351" t="s">
        <v>15</v>
      </c>
      <c r="F351" t="s">
        <v>26</v>
      </c>
      <c r="G351" t="s">
        <v>22</v>
      </c>
      <c r="H351">
        <v>1</v>
      </c>
      <c r="I351">
        <v>0</v>
      </c>
      <c r="J351">
        <v>69.95</v>
      </c>
      <c r="K351" t="s">
        <v>29</v>
      </c>
      <c r="L351" t="s">
        <v>49</v>
      </c>
      <c r="M351">
        <v>0</v>
      </c>
    </row>
    <row r="352" spans="1:13" x14ac:dyDescent="0.2">
      <c r="A352">
        <v>351</v>
      </c>
      <c r="B352" t="s">
        <v>56</v>
      </c>
      <c r="C352" s="2">
        <v>45079</v>
      </c>
      <c r="D352" t="s">
        <v>57</v>
      </c>
      <c r="E352" t="s">
        <v>48</v>
      </c>
      <c r="F352" t="s">
        <v>53</v>
      </c>
      <c r="G352" t="s">
        <v>54</v>
      </c>
      <c r="H352">
        <v>3</v>
      </c>
      <c r="I352">
        <v>0.25</v>
      </c>
      <c r="J352">
        <v>191.25</v>
      </c>
      <c r="K352" t="s">
        <v>52</v>
      </c>
      <c r="L352" t="s">
        <v>55</v>
      </c>
      <c r="M352">
        <v>1</v>
      </c>
    </row>
    <row r="353" spans="1:13" x14ac:dyDescent="0.2">
      <c r="A353">
        <v>352</v>
      </c>
      <c r="B353" t="s">
        <v>50</v>
      </c>
      <c r="C353" s="1">
        <v>45245</v>
      </c>
      <c r="D353" t="s">
        <v>25</v>
      </c>
      <c r="E353" t="s">
        <v>25</v>
      </c>
      <c r="F353" t="s">
        <v>66</v>
      </c>
      <c r="G353" t="s">
        <v>67</v>
      </c>
      <c r="H353">
        <v>5</v>
      </c>
      <c r="I353">
        <v>0</v>
      </c>
      <c r="J353">
        <v>349.75</v>
      </c>
      <c r="K353" t="s">
        <v>27</v>
      </c>
      <c r="L353" t="s">
        <v>45</v>
      </c>
      <c r="M353" t="s">
        <v>25</v>
      </c>
    </row>
    <row r="354" spans="1:13" x14ac:dyDescent="0.2">
      <c r="A354">
        <v>353</v>
      </c>
      <c r="B354" t="s">
        <v>71</v>
      </c>
      <c r="C354" s="1">
        <v>45657</v>
      </c>
      <c r="D354" t="s">
        <v>72</v>
      </c>
      <c r="E354" t="s">
        <v>33</v>
      </c>
      <c r="F354" t="s">
        <v>44</v>
      </c>
      <c r="H354">
        <v>3</v>
      </c>
      <c r="I354">
        <v>0.1</v>
      </c>
      <c r="J354">
        <v>161.87</v>
      </c>
      <c r="K354" t="s">
        <v>18</v>
      </c>
      <c r="L354" t="s">
        <v>49</v>
      </c>
      <c r="M354" t="s">
        <v>73</v>
      </c>
    </row>
    <row r="355" spans="1:13" x14ac:dyDescent="0.2">
      <c r="A355">
        <v>354</v>
      </c>
      <c r="B355" t="s">
        <v>46</v>
      </c>
      <c r="C355" s="2">
        <v>45164</v>
      </c>
      <c r="D355" t="s">
        <v>47</v>
      </c>
      <c r="E355" t="s">
        <v>48</v>
      </c>
      <c r="F355" t="s">
        <v>44</v>
      </c>
      <c r="H355">
        <v>4</v>
      </c>
      <c r="I355">
        <v>0.1</v>
      </c>
      <c r="J355">
        <v>179.82</v>
      </c>
      <c r="K355" t="s">
        <v>29</v>
      </c>
      <c r="L355" t="s">
        <v>41</v>
      </c>
      <c r="M355">
        <v>0</v>
      </c>
    </row>
    <row r="356" spans="1:13" x14ac:dyDescent="0.2">
      <c r="A356">
        <v>355</v>
      </c>
      <c r="B356" t="s">
        <v>24</v>
      </c>
      <c r="C356" s="2">
        <v>45042</v>
      </c>
      <c r="D356" t="s">
        <v>87</v>
      </c>
      <c r="E356" t="s">
        <v>39</v>
      </c>
      <c r="F356" t="s">
        <v>40</v>
      </c>
      <c r="G356" t="s">
        <v>17</v>
      </c>
      <c r="H356">
        <v>4</v>
      </c>
      <c r="I356">
        <v>0</v>
      </c>
      <c r="J356">
        <v>179.8</v>
      </c>
      <c r="K356" t="s">
        <v>29</v>
      </c>
      <c r="L356" t="s">
        <v>55</v>
      </c>
      <c r="M356" t="b">
        <v>1</v>
      </c>
    </row>
    <row r="357" spans="1:13" x14ac:dyDescent="0.2">
      <c r="A357">
        <v>356</v>
      </c>
      <c r="B357" t="s">
        <v>88</v>
      </c>
      <c r="C357" s="2">
        <v>45399</v>
      </c>
      <c r="D357" t="s">
        <v>25</v>
      </c>
      <c r="E357" t="s">
        <v>25</v>
      </c>
      <c r="F357" t="s">
        <v>16</v>
      </c>
      <c r="G357" t="s">
        <v>17</v>
      </c>
      <c r="H357">
        <v>5</v>
      </c>
      <c r="I357">
        <v>0</v>
      </c>
      <c r="J357">
        <v>990</v>
      </c>
      <c r="K357" t="s">
        <v>80</v>
      </c>
      <c r="L357" t="s">
        <v>30</v>
      </c>
      <c r="M357" t="s">
        <v>25</v>
      </c>
    </row>
    <row r="358" spans="1:13" x14ac:dyDescent="0.2">
      <c r="A358">
        <v>357</v>
      </c>
      <c r="B358" t="s">
        <v>85</v>
      </c>
      <c r="C358" s="1">
        <v>45605</v>
      </c>
      <c r="D358" t="s">
        <v>86</v>
      </c>
      <c r="E358" t="s">
        <v>76</v>
      </c>
      <c r="F358" t="s">
        <v>21</v>
      </c>
      <c r="G358" t="s">
        <v>22</v>
      </c>
      <c r="H358">
        <v>5</v>
      </c>
      <c r="I358">
        <v>0.15</v>
      </c>
      <c r="J358">
        <v>382.29</v>
      </c>
      <c r="K358" t="s">
        <v>18</v>
      </c>
      <c r="L358" t="s">
        <v>63</v>
      </c>
      <c r="M358" t="s">
        <v>73</v>
      </c>
    </row>
    <row r="359" spans="1:13" x14ac:dyDescent="0.2">
      <c r="A359">
        <v>358</v>
      </c>
      <c r="B359" t="s">
        <v>50</v>
      </c>
      <c r="C359" s="2">
        <v>45537</v>
      </c>
      <c r="D359" t="s">
        <v>51</v>
      </c>
      <c r="E359" t="s">
        <v>15</v>
      </c>
      <c r="F359" t="s">
        <v>66</v>
      </c>
      <c r="G359" t="s">
        <v>67</v>
      </c>
      <c r="H359">
        <v>4</v>
      </c>
      <c r="I359">
        <v>0</v>
      </c>
      <c r="J359">
        <v>279.8</v>
      </c>
      <c r="K359" t="s">
        <v>36</v>
      </c>
      <c r="L359" t="s">
        <v>55</v>
      </c>
      <c r="M359">
        <v>0</v>
      </c>
    </row>
    <row r="360" spans="1:13" x14ac:dyDescent="0.2">
      <c r="A360">
        <v>359</v>
      </c>
      <c r="B360" t="s">
        <v>61</v>
      </c>
      <c r="C360" s="2">
        <v>45518</v>
      </c>
      <c r="D360" t="s">
        <v>62</v>
      </c>
      <c r="E360" t="s">
        <v>33</v>
      </c>
      <c r="F360" t="s">
        <v>66</v>
      </c>
      <c r="G360" t="s">
        <v>67</v>
      </c>
      <c r="H360">
        <v>4</v>
      </c>
      <c r="I360">
        <v>0.1</v>
      </c>
      <c r="J360">
        <v>125.96</v>
      </c>
      <c r="K360" t="s">
        <v>80</v>
      </c>
      <c r="L360" t="s">
        <v>28</v>
      </c>
      <c r="M360">
        <v>0</v>
      </c>
    </row>
    <row r="361" spans="1:13" x14ac:dyDescent="0.2">
      <c r="A361">
        <v>360</v>
      </c>
      <c r="B361" t="s">
        <v>42</v>
      </c>
      <c r="C361" s="2">
        <v>45228</v>
      </c>
      <c r="D361" t="s">
        <v>43</v>
      </c>
      <c r="E361" t="s">
        <v>15</v>
      </c>
      <c r="F361" t="s">
        <v>40</v>
      </c>
      <c r="G361" t="s">
        <v>17</v>
      </c>
      <c r="H361">
        <v>5</v>
      </c>
      <c r="I361">
        <v>0</v>
      </c>
      <c r="J361">
        <v>645</v>
      </c>
      <c r="K361" t="s">
        <v>18</v>
      </c>
      <c r="L361" t="s">
        <v>28</v>
      </c>
      <c r="M361" t="b">
        <v>1</v>
      </c>
    </row>
    <row r="362" spans="1:13" x14ac:dyDescent="0.2">
      <c r="A362">
        <v>361</v>
      </c>
      <c r="B362" t="s">
        <v>85</v>
      </c>
      <c r="C362" s="2">
        <v>45318</v>
      </c>
      <c r="D362" t="s">
        <v>86</v>
      </c>
      <c r="E362" t="s">
        <v>76</v>
      </c>
      <c r="F362" t="s">
        <v>34</v>
      </c>
      <c r="G362" t="s">
        <v>35</v>
      </c>
      <c r="H362">
        <v>5</v>
      </c>
      <c r="I362">
        <v>0.2</v>
      </c>
      <c r="J362">
        <v>359.8</v>
      </c>
      <c r="K362" t="s">
        <v>36</v>
      </c>
      <c r="L362" t="s">
        <v>49</v>
      </c>
      <c r="M362" t="s">
        <v>73</v>
      </c>
    </row>
    <row r="363" spans="1:13" x14ac:dyDescent="0.2">
      <c r="A363">
        <v>362</v>
      </c>
      <c r="B363" t="s">
        <v>50</v>
      </c>
      <c r="C363" s="2">
        <v>45590</v>
      </c>
      <c r="D363" t="s">
        <v>51</v>
      </c>
      <c r="E363" t="s">
        <v>15</v>
      </c>
      <c r="F363" t="s">
        <v>66</v>
      </c>
      <c r="G363" t="s">
        <v>67</v>
      </c>
      <c r="H363">
        <v>2</v>
      </c>
      <c r="I363">
        <v>0</v>
      </c>
      <c r="J363">
        <v>139.9</v>
      </c>
      <c r="K363" t="s">
        <v>27</v>
      </c>
      <c r="L363" t="s">
        <v>23</v>
      </c>
      <c r="M363">
        <v>0</v>
      </c>
    </row>
    <row r="364" spans="1:13" x14ac:dyDescent="0.2">
      <c r="A364">
        <v>363</v>
      </c>
      <c r="B364" t="s">
        <v>71</v>
      </c>
      <c r="C364" s="2">
        <v>45387</v>
      </c>
      <c r="D364" t="s">
        <v>72</v>
      </c>
      <c r="E364" t="s">
        <v>33</v>
      </c>
      <c r="F364" t="s">
        <v>21</v>
      </c>
      <c r="G364" t="s">
        <v>22</v>
      </c>
      <c r="H364">
        <v>2</v>
      </c>
      <c r="I364">
        <v>0.25</v>
      </c>
      <c r="J364">
        <v>89.93</v>
      </c>
      <c r="K364" t="s">
        <v>80</v>
      </c>
      <c r="L364" t="s">
        <v>28</v>
      </c>
      <c r="M364" t="s">
        <v>73</v>
      </c>
    </row>
    <row r="365" spans="1:13" x14ac:dyDescent="0.2">
      <c r="A365">
        <v>364</v>
      </c>
      <c r="B365" t="s">
        <v>58</v>
      </c>
      <c r="C365" s="2">
        <v>45521</v>
      </c>
      <c r="D365" t="s">
        <v>59</v>
      </c>
      <c r="E365" t="s">
        <v>15</v>
      </c>
      <c r="F365" t="s">
        <v>40</v>
      </c>
      <c r="G365" t="s">
        <v>17</v>
      </c>
      <c r="H365">
        <v>1</v>
      </c>
      <c r="I365">
        <v>0.25</v>
      </c>
      <c r="J365">
        <v>44.96</v>
      </c>
      <c r="K365" t="s">
        <v>27</v>
      </c>
      <c r="L365" t="s">
        <v>49</v>
      </c>
      <c r="M365">
        <v>1</v>
      </c>
    </row>
    <row r="366" spans="1:13" x14ac:dyDescent="0.2">
      <c r="A366">
        <v>365</v>
      </c>
      <c r="B366" t="s">
        <v>78</v>
      </c>
      <c r="C366" s="1">
        <v>45572</v>
      </c>
      <c r="D366" t="s">
        <v>79</v>
      </c>
      <c r="E366" t="s">
        <v>48</v>
      </c>
      <c r="F366" t="s">
        <v>16</v>
      </c>
      <c r="G366" t="s">
        <v>17</v>
      </c>
      <c r="H366">
        <v>5</v>
      </c>
      <c r="I366">
        <v>0</v>
      </c>
      <c r="J366">
        <v>199.75</v>
      </c>
      <c r="K366" t="s">
        <v>29</v>
      </c>
      <c r="L366" t="s">
        <v>63</v>
      </c>
      <c r="M366">
        <v>1</v>
      </c>
    </row>
    <row r="367" spans="1:13" x14ac:dyDescent="0.2">
      <c r="A367">
        <v>366</v>
      </c>
      <c r="B367" t="s">
        <v>83</v>
      </c>
      <c r="C367" s="2">
        <v>45288</v>
      </c>
      <c r="D367" t="s">
        <v>84</v>
      </c>
      <c r="E367" t="s">
        <v>48</v>
      </c>
      <c r="F367" t="s">
        <v>26</v>
      </c>
      <c r="G367" t="s">
        <v>22</v>
      </c>
      <c r="H367">
        <v>4</v>
      </c>
      <c r="I367">
        <v>0.25</v>
      </c>
      <c r="J367">
        <v>149.85</v>
      </c>
      <c r="K367" t="s">
        <v>29</v>
      </c>
      <c r="L367" t="s">
        <v>49</v>
      </c>
      <c r="M367">
        <v>0</v>
      </c>
    </row>
    <row r="368" spans="1:13" x14ac:dyDescent="0.2">
      <c r="A368">
        <v>367</v>
      </c>
      <c r="B368" t="s">
        <v>81</v>
      </c>
      <c r="C368" s="2">
        <v>45566</v>
      </c>
      <c r="D368" t="s">
        <v>82</v>
      </c>
      <c r="E368" t="s">
        <v>15</v>
      </c>
      <c r="F368" t="s">
        <v>44</v>
      </c>
      <c r="H368">
        <v>2</v>
      </c>
      <c r="I368">
        <v>0</v>
      </c>
      <c r="J368">
        <v>159.9</v>
      </c>
      <c r="K368" t="s">
        <v>36</v>
      </c>
      <c r="L368" t="s">
        <v>30</v>
      </c>
      <c r="M368" t="s">
        <v>73</v>
      </c>
    </row>
    <row r="369" spans="1:13" x14ac:dyDescent="0.2">
      <c r="A369">
        <v>368</v>
      </c>
      <c r="B369" t="s">
        <v>13</v>
      </c>
      <c r="C369" s="2">
        <v>45384</v>
      </c>
      <c r="D369" t="s">
        <v>14</v>
      </c>
      <c r="E369" t="s">
        <v>15</v>
      </c>
      <c r="F369" t="s">
        <v>53</v>
      </c>
      <c r="G369" t="s">
        <v>54</v>
      </c>
      <c r="H369">
        <v>1</v>
      </c>
      <c r="I369">
        <v>0</v>
      </c>
      <c r="J369">
        <v>19.989999999999998</v>
      </c>
      <c r="K369" t="s">
        <v>36</v>
      </c>
      <c r="L369" t="s">
        <v>45</v>
      </c>
      <c r="M369">
        <v>0</v>
      </c>
    </row>
    <row r="370" spans="1:13" x14ac:dyDescent="0.2">
      <c r="A370">
        <v>369</v>
      </c>
      <c r="B370" t="s">
        <v>71</v>
      </c>
      <c r="C370" s="1">
        <v>45170</v>
      </c>
      <c r="D370" t="s">
        <v>72</v>
      </c>
      <c r="E370" t="s">
        <v>33</v>
      </c>
      <c r="F370" t="s">
        <v>66</v>
      </c>
      <c r="G370" t="s">
        <v>67</v>
      </c>
      <c r="H370">
        <v>2</v>
      </c>
      <c r="I370">
        <v>0.25</v>
      </c>
      <c r="J370">
        <v>89.93</v>
      </c>
      <c r="K370" t="s">
        <v>29</v>
      </c>
      <c r="L370" t="s">
        <v>28</v>
      </c>
      <c r="M370" t="s">
        <v>73</v>
      </c>
    </row>
    <row r="371" spans="1:13" x14ac:dyDescent="0.2">
      <c r="A371">
        <v>370</v>
      </c>
      <c r="B371" t="s">
        <v>24</v>
      </c>
      <c r="C371" s="2">
        <v>45472</v>
      </c>
      <c r="D371" t="s">
        <v>25</v>
      </c>
      <c r="E371" t="s">
        <v>25</v>
      </c>
      <c r="F371" t="s">
        <v>66</v>
      </c>
      <c r="G371" t="s">
        <v>67</v>
      </c>
      <c r="H371">
        <v>4</v>
      </c>
      <c r="I371">
        <v>0.25</v>
      </c>
      <c r="J371">
        <v>134.85</v>
      </c>
      <c r="K371" t="s">
        <v>29</v>
      </c>
      <c r="L371" t="s">
        <v>30</v>
      </c>
      <c r="M371" t="s">
        <v>25</v>
      </c>
    </row>
    <row r="372" spans="1:13" x14ac:dyDescent="0.2">
      <c r="A372">
        <v>371</v>
      </c>
      <c r="B372" t="s">
        <v>78</v>
      </c>
      <c r="C372" s="1">
        <v>45552</v>
      </c>
      <c r="D372" t="s">
        <v>79</v>
      </c>
      <c r="E372" t="s">
        <v>48</v>
      </c>
      <c r="F372" t="s">
        <v>40</v>
      </c>
      <c r="G372" t="s">
        <v>17</v>
      </c>
      <c r="H372">
        <v>1</v>
      </c>
      <c r="I372">
        <v>0</v>
      </c>
      <c r="J372">
        <v>39.950000000000003</v>
      </c>
      <c r="K372" t="s">
        <v>29</v>
      </c>
      <c r="L372" t="s">
        <v>49</v>
      </c>
      <c r="M372">
        <v>1</v>
      </c>
    </row>
    <row r="373" spans="1:13" x14ac:dyDescent="0.2">
      <c r="A373">
        <v>372</v>
      </c>
      <c r="B373" t="s">
        <v>78</v>
      </c>
      <c r="C373" s="1">
        <v>44937</v>
      </c>
      <c r="D373" t="s">
        <v>79</v>
      </c>
      <c r="E373" t="s">
        <v>48</v>
      </c>
      <c r="G373" t="s">
        <v>25</v>
      </c>
      <c r="H373">
        <v>3</v>
      </c>
      <c r="I373">
        <v>0</v>
      </c>
      <c r="J373">
        <v>119.85</v>
      </c>
      <c r="K373" t="s">
        <v>80</v>
      </c>
      <c r="L373" t="s">
        <v>49</v>
      </c>
      <c r="M373">
        <v>1</v>
      </c>
    </row>
    <row r="374" spans="1:13" x14ac:dyDescent="0.2">
      <c r="A374">
        <v>373</v>
      </c>
      <c r="B374" t="s">
        <v>37</v>
      </c>
      <c r="C374" s="1">
        <v>45535</v>
      </c>
      <c r="D374" t="s">
        <v>38</v>
      </c>
      <c r="E374" t="s">
        <v>39</v>
      </c>
      <c r="F374" t="s">
        <v>53</v>
      </c>
      <c r="G374" t="s">
        <v>54</v>
      </c>
      <c r="H374">
        <v>1</v>
      </c>
      <c r="I374">
        <v>0</v>
      </c>
      <c r="J374">
        <v>64.95</v>
      </c>
      <c r="K374" t="s">
        <v>27</v>
      </c>
      <c r="L374" t="s">
        <v>55</v>
      </c>
      <c r="M374">
        <v>1</v>
      </c>
    </row>
    <row r="375" spans="1:13" x14ac:dyDescent="0.2">
      <c r="A375">
        <v>374</v>
      </c>
      <c r="B375" t="s">
        <v>46</v>
      </c>
      <c r="C375" s="2">
        <v>45603</v>
      </c>
      <c r="D375" t="s">
        <v>47</v>
      </c>
      <c r="E375" t="s">
        <v>48</v>
      </c>
      <c r="F375" t="s">
        <v>66</v>
      </c>
      <c r="G375" t="s">
        <v>67</v>
      </c>
      <c r="H375">
        <v>2</v>
      </c>
      <c r="I375">
        <v>0.1</v>
      </c>
      <c r="J375">
        <v>89.91</v>
      </c>
      <c r="K375" t="s">
        <v>29</v>
      </c>
      <c r="L375" t="s">
        <v>30</v>
      </c>
      <c r="M375">
        <v>0</v>
      </c>
    </row>
    <row r="376" spans="1:13" x14ac:dyDescent="0.2">
      <c r="A376">
        <v>375</v>
      </c>
      <c r="B376" t="s">
        <v>64</v>
      </c>
      <c r="C376" s="2">
        <v>44988</v>
      </c>
      <c r="D376" t="s">
        <v>65</v>
      </c>
      <c r="E376" t="s">
        <v>33</v>
      </c>
      <c r="F376" t="s">
        <v>16</v>
      </c>
      <c r="G376" t="s">
        <v>17</v>
      </c>
      <c r="H376">
        <v>1</v>
      </c>
      <c r="I376">
        <v>0.2</v>
      </c>
      <c r="J376">
        <v>59.96</v>
      </c>
      <c r="K376" t="s">
        <v>52</v>
      </c>
      <c r="L376" t="s">
        <v>28</v>
      </c>
      <c r="M376">
        <v>0</v>
      </c>
    </row>
    <row r="377" spans="1:13" x14ac:dyDescent="0.2">
      <c r="A377">
        <v>376</v>
      </c>
      <c r="B377" t="s">
        <v>56</v>
      </c>
      <c r="C377" s="2">
        <v>45192</v>
      </c>
      <c r="D377" t="s">
        <v>25</v>
      </c>
      <c r="E377" t="s">
        <v>25</v>
      </c>
      <c r="G377" t="s">
        <v>25</v>
      </c>
      <c r="H377">
        <v>4</v>
      </c>
      <c r="I377">
        <v>0.05</v>
      </c>
      <c r="J377">
        <v>323</v>
      </c>
      <c r="K377" t="s">
        <v>29</v>
      </c>
      <c r="L377" t="s">
        <v>55</v>
      </c>
      <c r="M377" t="s">
        <v>25</v>
      </c>
    </row>
    <row r="378" spans="1:13" x14ac:dyDescent="0.2">
      <c r="A378">
        <v>377</v>
      </c>
      <c r="B378" t="s">
        <v>58</v>
      </c>
      <c r="C378" s="2">
        <v>45264</v>
      </c>
      <c r="D378" t="s">
        <v>59</v>
      </c>
      <c r="E378" t="s">
        <v>15</v>
      </c>
      <c r="F378" t="s">
        <v>26</v>
      </c>
      <c r="G378" t="s">
        <v>22</v>
      </c>
      <c r="H378">
        <v>4</v>
      </c>
      <c r="I378">
        <v>0.1</v>
      </c>
      <c r="J378">
        <v>215.82</v>
      </c>
      <c r="K378" t="s">
        <v>36</v>
      </c>
      <c r="L378" t="s">
        <v>45</v>
      </c>
      <c r="M378">
        <v>1</v>
      </c>
    </row>
    <row r="379" spans="1:13" x14ac:dyDescent="0.2">
      <c r="A379">
        <v>378</v>
      </c>
      <c r="B379" t="s">
        <v>13</v>
      </c>
      <c r="C379" s="2">
        <v>45475</v>
      </c>
      <c r="D379" t="s">
        <v>14</v>
      </c>
      <c r="E379" t="s">
        <v>15</v>
      </c>
      <c r="F379" t="s">
        <v>34</v>
      </c>
      <c r="G379" t="s">
        <v>35</v>
      </c>
      <c r="H379">
        <v>4</v>
      </c>
      <c r="I379">
        <v>0.25</v>
      </c>
      <c r="J379">
        <v>59.97</v>
      </c>
      <c r="K379" t="s">
        <v>80</v>
      </c>
      <c r="L379" t="s">
        <v>55</v>
      </c>
      <c r="M379">
        <v>0</v>
      </c>
    </row>
    <row r="380" spans="1:13" x14ac:dyDescent="0.2">
      <c r="A380">
        <v>379</v>
      </c>
      <c r="B380" t="s">
        <v>50</v>
      </c>
      <c r="C380" s="2">
        <v>45603</v>
      </c>
      <c r="D380" t="s">
        <v>51</v>
      </c>
      <c r="E380" t="s">
        <v>15</v>
      </c>
      <c r="F380" t="s">
        <v>44</v>
      </c>
      <c r="H380">
        <v>2</v>
      </c>
      <c r="I380">
        <v>0</v>
      </c>
      <c r="J380">
        <v>139.9</v>
      </c>
      <c r="K380" t="s">
        <v>29</v>
      </c>
      <c r="L380" t="s">
        <v>23</v>
      </c>
      <c r="M380">
        <v>0</v>
      </c>
    </row>
    <row r="381" spans="1:13" x14ac:dyDescent="0.2">
      <c r="A381">
        <v>380</v>
      </c>
      <c r="B381" t="s">
        <v>37</v>
      </c>
      <c r="C381" s="1">
        <v>44991</v>
      </c>
      <c r="D381" t="s">
        <v>25</v>
      </c>
      <c r="E381" t="s">
        <v>25</v>
      </c>
      <c r="F381" t="s">
        <v>26</v>
      </c>
      <c r="G381" t="s">
        <v>22</v>
      </c>
      <c r="H381">
        <v>1</v>
      </c>
      <c r="I381">
        <v>0.05</v>
      </c>
      <c r="J381">
        <v>61.7</v>
      </c>
      <c r="K381" t="s">
        <v>29</v>
      </c>
      <c r="L381" t="s">
        <v>41</v>
      </c>
      <c r="M381" t="s">
        <v>25</v>
      </c>
    </row>
    <row r="382" spans="1:13" x14ac:dyDescent="0.2">
      <c r="A382">
        <v>381</v>
      </c>
      <c r="B382" t="s">
        <v>74</v>
      </c>
      <c r="C382" s="2">
        <v>45476</v>
      </c>
      <c r="D382" t="s">
        <v>25</v>
      </c>
      <c r="E382" t="s">
        <v>25</v>
      </c>
      <c r="F382" t="s">
        <v>26</v>
      </c>
      <c r="G382" t="s">
        <v>22</v>
      </c>
      <c r="H382">
        <v>1</v>
      </c>
      <c r="I382">
        <v>0.05</v>
      </c>
      <c r="J382">
        <v>42.7</v>
      </c>
      <c r="K382" t="s">
        <v>36</v>
      </c>
      <c r="L382" t="s">
        <v>41</v>
      </c>
      <c r="M382" t="s">
        <v>25</v>
      </c>
    </row>
    <row r="383" spans="1:13" x14ac:dyDescent="0.2">
      <c r="A383">
        <v>382</v>
      </c>
      <c r="B383" t="s">
        <v>61</v>
      </c>
      <c r="C383" s="2">
        <v>45026</v>
      </c>
      <c r="D383" t="s">
        <v>62</v>
      </c>
      <c r="E383" t="s">
        <v>33</v>
      </c>
      <c r="F383" t="s">
        <v>34</v>
      </c>
      <c r="G383" t="s">
        <v>35</v>
      </c>
      <c r="H383">
        <v>1</v>
      </c>
      <c r="I383">
        <v>0</v>
      </c>
      <c r="J383">
        <v>34.99</v>
      </c>
      <c r="K383" t="s">
        <v>52</v>
      </c>
      <c r="L383" t="s">
        <v>23</v>
      </c>
      <c r="M383">
        <v>0</v>
      </c>
    </row>
    <row r="384" spans="1:13" x14ac:dyDescent="0.2">
      <c r="A384">
        <v>383</v>
      </c>
      <c r="B384" t="s">
        <v>85</v>
      </c>
      <c r="C384" s="1">
        <v>45627</v>
      </c>
      <c r="D384" t="s">
        <v>86</v>
      </c>
      <c r="E384" t="s">
        <v>76</v>
      </c>
      <c r="F384" t="s">
        <v>34</v>
      </c>
      <c r="G384" t="s">
        <v>35</v>
      </c>
      <c r="H384">
        <v>3</v>
      </c>
      <c r="I384">
        <v>0.2</v>
      </c>
      <c r="J384">
        <v>215.88</v>
      </c>
      <c r="K384" t="s">
        <v>27</v>
      </c>
      <c r="M384" t="s">
        <v>73</v>
      </c>
    </row>
    <row r="385" spans="1:13" x14ac:dyDescent="0.2">
      <c r="A385">
        <v>384</v>
      </c>
      <c r="B385" t="s">
        <v>31</v>
      </c>
      <c r="C385" s="2">
        <v>45522</v>
      </c>
      <c r="D385" t="s">
        <v>32</v>
      </c>
      <c r="E385" t="s">
        <v>33</v>
      </c>
      <c r="F385" t="s">
        <v>21</v>
      </c>
      <c r="G385" t="s">
        <v>22</v>
      </c>
      <c r="H385">
        <v>3</v>
      </c>
      <c r="I385">
        <v>0</v>
      </c>
      <c r="J385">
        <v>239.85</v>
      </c>
      <c r="K385" t="s">
        <v>18</v>
      </c>
      <c r="L385" t="s">
        <v>41</v>
      </c>
      <c r="M385" t="b">
        <v>0</v>
      </c>
    </row>
    <row r="386" spans="1:13" x14ac:dyDescent="0.2">
      <c r="A386">
        <v>385</v>
      </c>
      <c r="B386" t="s">
        <v>85</v>
      </c>
      <c r="C386" s="2">
        <v>45582</v>
      </c>
      <c r="D386" t="s">
        <v>86</v>
      </c>
      <c r="E386" t="s">
        <v>76</v>
      </c>
      <c r="F386" t="s">
        <v>53</v>
      </c>
      <c r="G386" t="s">
        <v>54</v>
      </c>
      <c r="H386">
        <v>4</v>
      </c>
      <c r="I386">
        <v>0</v>
      </c>
      <c r="J386">
        <v>359.8</v>
      </c>
      <c r="K386" t="s">
        <v>18</v>
      </c>
      <c r="L386" t="s">
        <v>63</v>
      </c>
      <c r="M386" t="s">
        <v>73</v>
      </c>
    </row>
    <row r="387" spans="1:13" x14ac:dyDescent="0.2">
      <c r="A387">
        <v>386</v>
      </c>
      <c r="B387" t="s">
        <v>68</v>
      </c>
      <c r="C387" s="1">
        <v>45047</v>
      </c>
      <c r="D387" t="s">
        <v>69</v>
      </c>
      <c r="E387" t="s">
        <v>33</v>
      </c>
      <c r="F387" t="s">
        <v>53</v>
      </c>
      <c r="G387" t="s">
        <v>54</v>
      </c>
      <c r="H387">
        <v>4</v>
      </c>
      <c r="I387">
        <v>0</v>
      </c>
      <c r="J387">
        <v>476</v>
      </c>
      <c r="K387" t="s">
        <v>18</v>
      </c>
      <c r="L387" t="s">
        <v>63</v>
      </c>
      <c r="M387" t="b">
        <v>0</v>
      </c>
    </row>
    <row r="388" spans="1:13" x14ac:dyDescent="0.2">
      <c r="A388">
        <v>387</v>
      </c>
      <c r="B388" t="s">
        <v>37</v>
      </c>
      <c r="C388" s="2">
        <v>45107</v>
      </c>
      <c r="D388" t="s">
        <v>38</v>
      </c>
      <c r="E388" t="s">
        <v>39</v>
      </c>
      <c r="F388" t="s">
        <v>26</v>
      </c>
      <c r="G388" t="s">
        <v>22</v>
      </c>
      <c r="H388">
        <v>1</v>
      </c>
      <c r="I388">
        <v>0</v>
      </c>
      <c r="J388">
        <v>64.95</v>
      </c>
      <c r="K388" t="s">
        <v>29</v>
      </c>
      <c r="L388" t="s">
        <v>41</v>
      </c>
      <c r="M388">
        <v>1</v>
      </c>
    </row>
    <row r="389" spans="1:13" x14ac:dyDescent="0.2">
      <c r="A389">
        <v>388</v>
      </c>
      <c r="B389" t="s">
        <v>58</v>
      </c>
      <c r="C389" s="2">
        <v>44956</v>
      </c>
      <c r="D389" t="s">
        <v>59</v>
      </c>
      <c r="E389" t="s">
        <v>15</v>
      </c>
      <c r="F389" t="s">
        <v>44</v>
      </c>
      <c r="H389">
        <v>1</v>
      </c>
      <c r="I389">
        <v>0</v>
      </c>
      <c r="J389">
        <v>59.95</v>
      </c>
      <c r="K389" t="s">
        <v>18</v>
      </c>
      <c r="L389" t="s">
        <v>45</v>
      </c>
      <c r="M389">
        <v>1</v>
      </c>
    </row>
    <row r="390" spans="1:13" x14ac:dyDescent="0.2">
      <c r="A390">
        <v>389</v>
      </c>
      <c r="B390" t="s">
        <v>19</v>
      </c>
      <c r="C390" s="1">
        <v>45169</v>
      </c>
      <c r="D390" t="s">
        <v>25</v>
      </c>
      <c r="E390" t="s">
        <v>25</v>
      </c>
      <c r="F390" t="s">
        <v>40</v>
      </c>
      <c r="G390" t="s">
        <v>17</v>
      </c>
      <c r="H390">
        <v>1</v>
      </c>
      <c r="I390">
        <v>0.15</v>
      </c>
      <c r="J390">
        <v>76.459999999999994</v>
      </c>
      <c r="K390" t="s">
        <v>27</v>
      </c>
      <c r="L390" t="s">
        <v>63</v>
      </c>
      <c r="M390" t="s">
        <v>25</v>
      </c>
    </row>
    <row r="391" spans="1:13" x14ac:dyDescent="0.2">
      <c r="A391">
        <v>390</v>
      </c>
      <c r="B391" t="s">
        <v>31</v>
      </c>
      <c r="C391" s="1">
        <v>45125</v>
      </c>
      <c r="D391" t="s">
        <v>32</v>
      </c>
      <c r="E391" t="s">
        <v>33</v>
      </c>
      <c r="F391" t="s">
        <v>44</v>
      </c>
      <c r="H391">
        <v>4</v>
      </c>
      <c r="I391">
        <v>0</v>
      </c>
      <c r="J391">
        <v>319.8</v>
      </c>
      <c r="K391" t="s">
        <v>29</v>
      </c>
      <c r="L391" t="s">
        <v>45</v>
      </c>
      <c r="M391" t="b">
        <v>0</v>
      </c>
    </row>
    <row r="392" spans="1:13" x14ac:dyDescent="0.2">
      <c r="A392">
        <v>391</v>
      </c>
      <c r="B392" t="s">
        <v>19</v>
      </c>
      <c r="C392" s="2">
        <v>45493</v>
      </c>
      <c r="D392" t="s">
        <v>20</v>
      </c>
      <c r="E392" t="s">
        <v>15</v>
      </c>
      <c r="F392" t="s">
        <v>40</v>
      </c>
      <c r="G392" t="s">
        <v>17</v>
      </c>
      <c r="H392">
        <v>3</v>
      </c>
      <c r="I392">
        <v>0</v>
      </c>
      <c r="J392">
        <v>269.85000000000002</v>
      </c>
      <c r="K392" t="s">
        <v>80</v>
      </c>
      <c r="L392" t="s">
        <v>45</v>
      </c>
      <c r="M392" t="b">
        <v>1</v>
      </c>
    </row>
    <row r="393" spans="1:13" x14ac:dyDescent="0.2">
      <c r="A393">
        <v>392</v>
      </c>
      <c r="B393" t="s">
        <v>19</v>
      </c>
      <c r="C393" s="1">
        <v>45079</v>
      </c>
      <c r="D393" t="s">
        <v>20</v>
      </c>
      <c r="E393" t="s">
        <v>15</v>
      </c>
      <c r="F393" t="s">
        <v>34</v>
      </c>
      <c r="G393" t="s">
        <v>35</v>
      </c>
      <c r="H393">
        <v>3</v>
      </c>
      <c r="I393">
        <v>0.2</v>
      </c>
      <c r="J393">
        <v>215.88</v>
      </c>
      <c r="K393" t="s">
        <v>80</v>
      </c>
      <c r="L393" t="s">
        <v>63</v>
      </c>
      <c r="M393" t="b">
        <v>1</v>
      </c>
    </row>
    <row r="394" spans="1:13" x14ac:dyDescent="0.2">
      <c r="A394">
        <v>393</v>
      </c>
      <c r="B394" t="s">
        <v>24</v>
      </c>
      <c r="C394" s="1">
        <v>44939</v>
      </c>
      <c r="D394" t="s">
        <v>87</v>
      </c>
      <c r="E394" t="s">
        <v>39</v>
      </c>
      <c r="F394" t="s">
        <v>16</v>
      </c>
      <c r="G394" t="s">
        <v>17</v>
      </c>
      <c r="H394">
        <v>4</v>
      </c>
      <c r="I394">
        <v>0.05</v>
      </c>
      <c r="J394">
        <v>170.81</v>
      </c>
      <c r="K394" t="s">
        <v>80</v>
      </c>
      <c r="L394" t="s">
        <v>55</v>
      </c>
      <c r="M394" t="b">
        <v>1</v>
      </c>
    </row>
    <row r="395" spans="1:13" x14ac:dyDescent="0.2">
      <c r="A395">
        <v>394</v>
      </c>
      <c r="B395" t="s">
        <v>81</v>
      </c>
      <c r="C395" s="1">
        <v>45068</v>
      </c>
      <c r="D395" t="s">
        <v>82</v>
      </c>
      <c r="E395" t="s">
        <v>15</v>
      </c>
      <c r="F395" t="s">
        <v>44</v>
      </c>
      <c r="H395">
        <v>5</v>
      </c>
      <c r="I395">
        <v>0</v>
      </c>
      <c r="J395">
        <v>399.75</v>
      </c>
      <c r="K395" t="s">
        <v>29</v>
      </c>
      <c r="L395" t="s">
        <v>41</v>
      </c>
      <c r="M395" t="s">
        <v>73</v>
      </c>
    </row>
    <row r="396" spans="1:13" x14ac:dyDescent="0.2">
      <c r="A396">
        <v>395</v>
      </c>
      <c r="B396" t="s">
        <v>78</v>
      </c>
      <c r="C396" s="1">
        <v>45641</v>
      </c>
      <c r="D396" t="s">
        <v>79</v>
      </c>
      <c r="E396" t="s">
        <v>48</v>
      </c>
      <c r="F396" t="s">
        <v>40</v>
      </c>
      <c r="G396" t="s">
        <v>17</v>
      </c>
      <c r="H396">
        <v>1</v>
      </c>
      <c r="I396">
        <v>0.1</v>
      </c>
      <c r="J396">
        <v>35.96</v>
      </c>
      <c r="K396" t="s">
        <v>52</v>
      </c>
      <c r="M396">
        <v>1</v>
      </c>
    </row>
    <row r="397" spans="1:13" x14ac:dyDescent="0.2">
      <c r="A397">
        <v>396</v>
      </c>
      <c r="B397" t="s">
        <v>58</v>
      </c>
      <c r="C397" s="2">
        <v>45560</v>
      </c>
      <c r="D397" t="s">
        <v>59</v>
      </c>
      <c r="E397" t="s">
        <v>15</v>
      </c>
      <c r="F397" t="s">
        <v>40</v>
      </c>
      <c r="G397" t="s">
        <v>17</v>
      </c>
      <c r="H397">
        <v>1</v>
      </c>
      <c r="I397">
        <v>0.2</v>
      </c>
      <c r="J397">
        <v>47.96</v>
      </c>
      <c r="K397" t="s">
        <v>29</v>
      </c>
      <c r="L397" t="s">
        <v>49</v>
      </c>
      <c r="M397">
        <v>1</v>
      </c>
    </row>
    <row r="398" spans="1:13" x14ac:dyDescent="0.2">
      <c r="A398">
        <v>397</v>
      </c>
      <c r="B398" t="s">
        <v>83</v>
      </c>
      <c r="C398" s="2">
        <v>45288</v>
      </c>
      <c r="D398" t="s">
        <v>84</v>
      </c>
      <c r="E398" t="s">
        <v>48</v>
      </c>
      <c r="F398" t="s">
        <v>16</v>
      </c>
      <c r="G398" t="s">
        <v>17</v>
      </c>
      <c r="H398">
        <v>5</v>
      </c>
      <c r="I398">
        <v>0.05</v>
      </c>
      <c r="J398">
        <v>237.26</v>
      </c>
      <c r="K398" t="s">
        <v>52</v>
      </c>
      <c r="L398" t="s">
        <v>63</v>
      </c>
      <c r="M398">
        <v>0</v>
      </c>
    </row>
    <row r="399" spans="1:13" x14ac:dyDescent="0.2">
      <c r="A399">
        <v>398</v>
      </c>
      <c r="B399" t="s">
        <v>24</v>
      </c>
      <c r="C399" s="2">
        <v>45395</v>
      </c>
      <c r="D399" t="s">
        <v>87</v>
      </c>
      <c r="E399" t="s">
        <v>39</v>
      </c>
      <c r="F399" t="s">
        <v>53</v>
      </c>
      <c r="G399" t="s">
        <v>54</v>
      </c>
      <c r="H399">
        <v>5</v>
      </c>
      <c r="I399">
        <v>0.15</v>
      </c>
      <c r="J399">
        <v>191.04</v>
      </c>
      <c r="K399" t="s">
        <v>18</v>
      </c>
      <c r="L399" t="s">
        <v>55</v>
      </c>
      <c r="M399" t="b">
        <v>1</v>
      </c>
    </row>
    <row r="400" spans="1:13" x14ac:dyDescent="0.2">
      <c r="A400">
        <v>399</v>
      </c>
      <c r="B400" t="s">
        <v>78</v>
      </c>
      <c r="C400" s="2">
        <v>45481</v>
      </c>
      <c r="D400" t="s">
        <v>79</v>
      </c>
      <c r="E400" t="s">
        <v>48</v>
      </c>
      <c r="F400" t="s">
        <v>34</v>
      </c>
      <c r="G400" t="s">
        <v>35</v>
      </c>
      <c r="H400">
        <v>1</v>
      </c>
      <c r="J400">
        <v>39.950000000000003</v>
      </c>
      <c r="K400" t="s">
        <v>36</v>
      </c>
      <c r="L400" t="s">
        <v>28</v>
      </c>
      <c r="M400">
        <v>1</v>
      </c>
    </row>
    <row r="401" spans="1:13" x14ac:dyDescent="0.2">
      <c r="A401">
        <v>400</v>
      </c>
      <c r="B401" t="s">
        <v>85</v>
      </c>
      <c r="C401" s="1">
        <v>45534</v>
      </c>
      <c r="D401" t="s">
        <v>86</v>
      </c>
      <c r="E401" t="s">
        <v>76</v>
      </c>
      <c r="F401" t="s">
        <v>40</v>
      </c>
      <c r="G401" t="s">
        <v>17</v>
      </c>
      <c r="H401">
        <v>5</v>
      </c>
      <c r="I401">
        <v>0.15</v>
      </c>
      <c r="J401">
        <v>382.29</v>
      </c>
      <c r="K401" t="s">
        <v>29</v>
      </c>
      <c r="L401" t="s">
        <v>49</v>
      </c>
      <c r="M401" t="s">
        <v>73</v>
      </c>
    </row>
    <row r="402" spans="1:13" x14ac:dyDescent="0.2">
      <c r="A402">
        <v>401</v>
      </c>
      <c r="B402" t="s">
        <v>68</v>
      </c>
      <c r="C402" s="2">
        <v>45218</v>
      </c>
      <c r="D402" t="s">
        <v>69</v>
      </c>
      <c r="E402" t="s">
        <v>33</v>
      </c>
      <c r="F402" t="s">
        <v>44</v>
      </c>
      <c r="H402">
        <v>3</v>
      </c>
      <c r="I402">
        <v>0</v>
      </c>
      <c r="J402">
        <v>357</v>
      </c>
      <c r="K402" t="s">
        <v>52</v>
      </c>
      <c r="L402" t="s">
        <v>45</v>
      </c>
      <c r="M402" t="b">
        <v>0</v>
      </c>
    </row>
    <row r="403" spans="1:13" x14ac:dyDescent="0.2">
      <c r="A403">
        <v>402</v>
      </c>
      <c r="B403" t="s">
        <v>31</v>
      </c>
      <c r="C403" s="2">
        <v>45515</v>
      </c>
      <c r="D403" t="s">
        <v>32</v>
      </c>
      <c r="E403" t="s">
        <v>33</v>
      </c>
      <c r="F403" t="s">
        <v>66</v>
      </c>
      <c r="G403" t="s">
        <v>67</v>
      </c>
      <c r="H403">
        <v>2</v>
      </c>
      <c r="I403">
        <v>0</v>
      </c>
      <c r="J403">
        <v>159.9</v>
      </c>
      <c r="K403" t="s">
        <v>52</v>
      </c>
      <c r="L403" t="s">
        <v>23</v>
      </c>
      <c r="M403" t="b">
        <v>0</v>
      </c>
    </row>
    <row r="404" spans="1:13" x14ac:dyDescent="0.2">
      <c r="A404">
        <v>403</v>
      </c>
      <c r="B404" t="s">
        <v>56</v>
      </c>
      <c r="C404" s="2">
        <v>45438</v>
      </c>
      <c r="D404" t="s">
        <v>57</v>
      </c>
      <c r="E404" t="s">
        <v>48</v>
      </c>
      <c r="F404" t="s">
        <v>66</v>
      </c>
      <c r="G404" t="s">
        <v>67</v>
      </c>
      <c r="H404">
        <v>3</v>
      </c>
      <c r="I404">
        <v>0</v>
      </c>
      <c r="J404">
        <v>255</v>
      </c>
      <c r="K404" t="s">
        <v>29</v>
      </c>
      <c r="L404" t="s">
        <v>23</v>
      </c>
      <c r="M404">
        <v>1</v>
      </c>
    </row>
    <row r="405" spans="1:13" x14ac:dyDescent="0.2">
      <c r="A405">
        <v>404</v>
      </c>
      <c r="B405" t="s">
        <v>81</v>
      </c>
      <c r="C405" s="1">
        <v>45042</v>
      </c>
      <c r="D405" t="s">
        <v>25</v>
      </c>
      <c r="E405" t="s">
        <v>25</v>
      </c>
      <c r="F405" t="s">
        <v>53</v>
      </c>
      <c r="G405" t="s">
        <v>54</v>
      </c>
      <c r="H405">
        <v>2</v>
      </c>
      <c r="I405">
        <v>0.25</v>
      </c>
      <c r="J405">
        <v>119.93</v>
      </c>
      <c r="K405" t="s">
        <v>36</v>
      </c>
      <c r="L405" t="s">
        <v>49</v>
      </c>
      <c r="M405" t="s">
        <v>25</v>
      </c>
    </row>
    <row r="406" spans="1:13" x14ac:dyDescent="0.2">
      <c r="A406">
        <v>405</v>
      </c>
      <c r="B406" t="s">
        <v>42</v>
      </c>
      <c r="C406" s="2">
        <v>45466</v>
      </c>
      <c r="D406" t="s">
        <v>43</v>
      </c>
      <c r="E406" t="s">
        <v>15</v>
      </c>
      <c r="F406" t="s">
        <v>40</v>
      </c>
      <c r="G406" t="s">
        <v>17</v>
      </c>
      <c r="H406">
        <v>3</v>
      </c>
      <c r="I406">
        <v>0</v>
      </c>
      <c r="J406">
        <v>387</v>
      </c>
      <c r="K406" t="s">
        <v>80</v>
      </c>
      <c r="L406" t="s">
        <v>63</v>
      </c>
      <c r="M406" t="b">
        <v>1</v>
      </c>
    </row>
    <row r="407" spans="1:13" x14ac:dyDescent="0.2">
      <c r="A407">
        <v>406</v>
      </c>
      <c r="B407" t="s">
        <v>37</v>
      </c>
      <c r="C407" s="2">
        <v>45296</v>
      </c>
      <c r="D407" t="s">
        <v>38</v>
      </c>
      <c r="E407" t="s">
        <v>39</v>
      </c>
      <c r="F407" t="s">
        <v>21</v>
      </c>
      <c r="G407" t="s">
        <v>22</v>
      </c>
      <c r="H407">
        <v>4</v>
      </c>
      <c r="I407">
        <v>0.15</v>
      </c>
      <c r="J407">
        <v>220.83</v>
      </c>
      <c r="K407" t="s">
        <v>36</v>
      </c>
      <c r="L407" t="s">
        <v>23</v>
      </c>
      <c r="M407">
        <v>1</v>
      </c>
    </row>
    <row r="408" spans="1:13" x14ac:dyDescent="0.2">
      <c r="A408">
        <v>407</v>
      </c>
      <c r="B408" t="s">
        <v>37</v>
      </c>
      <c r="C408" s="1">
        <v>45094</v>
      </c>
      <c r="D408" t="s">
        <v>38</v>
      </c>
      <c r="E408" t="s">
        <v>39</v>
      </c>
      <c r="F408" t="s">
        <v>16</v>
      </c>
      <c r="G408" t="s">
        <v>17</v>
      </c>
      <c r="H408">
        <v>4</v>
      </c>
      <c r="I408">
        <v>0.2</v>
      </c>
      <c r="J408">
        <v>207.84</v>
      </c>
      <c r="K408" t="s">
        <v>52</v>
      </c>
      <c r="L408" t="s">
        <v>41</v>
      </c>
      <c r="M408">
        <v>1</v>
      </c>
    </row>
    <row r="409" spans="1:13" x14ac:dyDescent="0.2">
      <c r="A409">
        <v>408</v>
      </c>
      <c r="B409" t="s">
        <v>42</v>
      </c>
      <c r="C409" s="1">
        <v>45346</v>
      </c>
      <c r="D409" t="s">
        <v>43</v>
      </c>
      <c r="E409" t="s">
        <v>15</v>
      </c>
      <c r="F409" t="s">
        <v>40</v>
      </c>
      <c r="G409" t="s">
        <v>17</v>
      </c>
      <c r="H409">
        <v>5</v>
      </c>
      <c r="I409">
        <v>0.2</v>
      </c>
      <c r="J409">
        <v>516</v>
      </c>
      <c r="K409" t="s">
        <v>27</v>
      </c>
      <c r="L409" t="s">
        <v>55</v>
      </c>
      <c r="M409" t="b">
        <v>1</v>
      </c>
    </row>
    <row r="410" spans="1:13" x14ac:dyDescent="0.2">
      <c r="A410">
        <v>409</v>
      </c>
      <c r="B410" t="s">
        <v>58</v>
      </c>
      <c r="C410" s="2">
        <v>45401</v>
      </c>
      <c r="D410" t="s">
        <v>59</v>
      </c>
      <c r="E410" t="s">
        <v>15</v>
      </c>
      <c r="G410" t="s">
        <v>25</v>
      </c>
      <c r="H410">
        <v>3</v>
      </c>
      <c r="I410">
        <v>0.1</v>
      </c>
      <c r="J410">
        <v>161.87</v>
      </c>
      <c r="K410" t="s">
        <v>80</v>
      </c>
      <c r="L410" t="s">
        <v>41</v>
      </c>
      <c r="M410">
        <v>1</v>
      </c>
    </row>
    <row r="411" spans="1:13" x14ac:dyDescent="0.2">
      <c r="A411">
        <v>410</v>
      </c>
      <c r="B411" t="s">
        <v>85</v>
      </c>
      <c r="C411" s="2">
        <v>45049</v>
      </c>
      <c r="D411" t="s">
        <v>86</v>
      </c>
      <c r="E411" t="s">
        <v>76</v>
      </c>
      <c r="F411" t="s">
        <v>53</v>
      </c>
      <c r="G411" t="s">
        <v>54</v>
      </c>
      <c r="H411">
        <v>2</v>
      </c>
      <c r="I411">
        <v>0.25</v>
      </c>
      <c r="J411">
        <v>134.93</v>
      </c>
      <c r="K411" t="s">
        <v>27</v>
      </c>
      <c r="L411" t="s">
        <v>63</v>
      </c>
      <c r="M411" t="s">
        <v>73</v>
      </c>
    </row>
    <row r="412" spans="1:13" x14ac:dyDescent="0.2">
      <c r="A412">
        <v>411</v>
      </c>
      <c r="B412" t="s">
        <v>68</v>
      </c>
      <c r="C412" s="2">
        <v>45522</v>
      </c>
      <c r="D412" t="s">
        <v>69</v>
      </c>
      <c r="E412" t="s">
        <v>33</v>
      </c>
      <c r="F412" t="s">
        <v>16</v>
      </c>
      <c r="G412" t="s">
        <v>17</v>
      </c>
      <c r="H412">
        <v>5</v>
      </c>
      <c r="I412">
        <v>0</v>
      </c>
      <c r="J412">
        <v>595</v>
      </c>
      <c r="K412" t="s">
        <v>18</v>
      </c>
      <c r="L412" t="s">
        <v>30</v>
      </c>
      <c r="M412" t="b">
        <v>0</v>
      </c>
    </row>
    <row r="413" spans="1:13" x14ac:dyDescent="0.2">
      <c r="A413">
        <v>412</v>
      </c>
      <c r="B413" t="s">
        <v>50</v>
      </c>
      <c r="C413" s="2">
        <v>45114</v>
      </c>
      <c r="D413" t="s">
        <v>51</v>
      </c>
      <c r="E413" t="s">
        <v>15</v>
      </c>
      <c r="F413" t="s">
        <v>26</v>
      </c>
      <c r="G413" t="s">
        <v>22</v>
      </c>
      <c r="H413">
        <v>3</v>
      </c>
      <c r="I413">
        <v>0</v>
      </c>
      <c r="J413">
        <v>209.85</v>
      </c>
      <c r="K413" t="s">
        <v>36</v>
      </c>
      <c r="L413" t="s">
        <v>63</v>
      </c>
      <c r="M413">
        <v>0</v>
      </c>
    </row>
    <row r="414" spans="1:13" x14ac:dyDescent="0.2">
      <c r="A414">
        <v>413</v>
      </c>
      <c r="B414" t="s">
        <v>46</v>
      </c>
      <c r="C414" s="1">
        <v>45067</v>
      </c>
      <c r="D414" t="s">
        <v>47</v>
      </c>
      <c r="E414" t="s">
        <v>48</v>
      </c>
      <c r="F414" t="s">
        <v>40</v>
      </c>
      <c r="G414" t="s">
        <v>17</v>
      </c>
      <c r="H414">
        <v>5</v>
      </c>
      <c r="I414">
        <v>0.15</v>
      </c>
      <c r="J414">
        <v>212.29</v>
      </c>
      <c r="K414" t="s">
        <v>27</v>
      </c>
      <c r="L414" t="s">
        <v>45</v>
      </c>
      <c r="M414">
        <v>0</v>
      </c>
    </row>
    <row r="415" spans="1:13" x14ac:dyDescent="0.2">
      <c r="A415">
        <v>414</v>
      </c>
      <c r="B415" t="s">
        <v>85</v>
      </c>
      <c r="C415" s="2">
        <v>44944</v>
      </c>
      <c r="D415" t="s">
        <v>86</v>
      </c>
      <c r="E415" t="s">
        <v>76</v>
      </c>
      <c r="F415" t="s">
        <v>16</v>
      </c>
      <c r="G415" t="s">
        <v>17</v>
      </c>
      <c r="H415">
        <v>4</v>
      </c>
      <c r="I415">
        <v>0</v>
      </c>
      <c r="J415">
        <v>359.8</v>
      </c>
      <c r="K415" t="s">
        <v>18</v>
      </c>
      <c r="L415" t="s">
        <v>55</v>
      </c>
      <c r="M415" t="s">
        <v>73</v>
      </c>
    </row>
    <row r="416" spans="1:13" x14ac:dyDescent="0.2">
      <c r="A416">
        <v>415</v>
      </c>
      <c r="B416" t="s">
        <v>13</v>
      </c>
      <c r="C416" s="1">
        <v>45072</v>
      </c>
      <c r="D416" t="s">
        <v>14</v>
      </c>
      <c r="E416" t="s">
        <v>15</v>
      </c>
      <c r="F416" t="s">
        <v>53</v>
      </c>
      <c r="G416" t="s">
        <v>54</v>
      </c>
      <c r="H416">
        <v>1</v>
      </c>
      <c r="I416">
        <v>0.05</v>
      </c>
      <c r="J416">
        <v>18.989999999999998</v>
      </c>
      <c r="K416" t="s">
        <v>36</v>
      </c>
      <c r="L416" t="s">
        <v>45</v>
      </c>
      <c r="M416">
        <v>0</v>
      </c>
    </row>
    <row r="417" spans="1:13" x14ac:dyDescent="0.2">
      <c r="A417">
        <v>416</v>
      </c>
      <c r="B417" t="s">
        <v>85</v>
      </c>
      <c r="C417" s="1">
        <v>45602</v>
      </c>
      <c r="D417" t="s">
        <v>86</v>
      </c>
      <c r="E417" t="s">
        <v>76</v>
      </c>
      <c r="F417" t="s">
        <v>44</v>
      </c>
      <c r="H417">
        <v>1</v>
      </c>
      <c r="I417" t="s">
        <v>70</v>
      </c>
      <c r="J417">
        <v>89.95</v>
      </c>
      <c r="K417" t="s">
        <v>27</v>
      </c>
      <c r="L417" t="s">
        <v>55</v>
      </c>
      <c r="M417" t="s">
        <v>73</v>
      </c>
    </row>
    <row r="418" spans="1:13" x14ac:dyDescent="0.2">
      <c r="A418">
        <v>417</v>
      </c>
      <c r="B418" t="s">
        <v>81</v>
      </c>
      <c r="C418" s="2">
        <v>45019</v>
      </c>
      <c r="D418" t="s">
        <v>82</v>
      </c>
      <c r="E418" t="s">
        <v>15</v>
      </c>
      <c r="F418" t="s">
        <v>34</v>
      </c>
      <c r="G418" t="s">
        <v>35</v>
      </c>
      <c r="H418">
        <v>2</v>
      </c>
      <c r="I418">
        <v>0</v>
      </c>
      <c r="J418">
        <v>159.9</v>
      </c>
      <c r="K418" t="s">
        <v>27</v>
      </c>
      <c r="L418" t="s">
        <v>49</v>
      </c>
      <c r="M418" t="s">
        <v>73</v>
      </c>
    </row>
    <row r="419" spans="1:13" x14ac:dyDescent="0.2">
      <c r="A419">
        <v>418</v>
      </c>
      <c r="B419" t="s">
        <v>46</v>
      </c>
      <c r="C419" s="2">
        <v>45123</v>
      </c>
      <c r="D419" t="s">
        <v>47</v>
      </c>
      <c r="E419" t="s">
        <v>48</v>
      </c>
      <c r="F419" t="s">
        <v>16</v>
      </c>
      <c r="G419" t="s">
        <v>17</v>
      </c>
      <c r="H419">
        <v>5</v>
      </c>
      <c r="I419">
        <v>0</v>
      </c>
      <c r="J419">
        <v>249.75</v>
      </c>
      <c r="K419" t="s">
        <v>36</v>
      </c>
      <c r="L419" t="s">
        <v>63</v>
      </c>
      <c r="M419">
        <v>0</v>
      </c>
    </row>
    <row r="420" spans="1:13" x14ac:dyDescent="0.2">
      <c r="A420">
        <v>419</v>
      </c>
      <c r="B420" t="s">
        <v>24</v>
      </c>
      <c r="C420" s="2">
        <v>45361</v>
      </c>
      <c r="D420" t="s">
        <v>87</v>
      </c>
      <c r="E420" t="s">
        <v>39</v>
      </c>
      <c r="F420" t="s">
        <v>66</v>
      </c>
      <c r="G420" t="s">
        <v>67</v>
      </c>
      <c r="H420">
        <v>1</v>
      </c>
      <c r="I420">
        <v>0</v>
      </c>
      <c r="J420">
        <v>44.95</v>
      </c>
      <c r="K420" t="s">
        <v>29</v>
      </c>
      <c r="L420" t="s">
        <v>49</v>
      </c>
      <c r="M420" t="b">
        <v>1</v>
      </c>
    </row>
    <row r="421" spans="1:13" x14ac:dyDescent="0.2">
      <c r="A421">
        <v>420</v>
      </c>
      <c r="B421" t="s">
        <v>56</v>
      </c>
      <c r="C421" s="2">
        <v>45045</v>
      </c>
      <c r="D421" t="s">
        <v>57</v>
      </c>
      <c r="E421" t="s">
        <v>48</v>
      </c>
      <c r="F421" t="s">
        <v>53</v>
      </c>
      <c r="G421" t="s">
        <v>54</v>
      </c>
      <c r="H421">
        <v>1</v>
      </c>
      <c r="I421">
        <v>0</v>
      </c>
      <c r="J421">
        <v>85</v>
      </c>
      <c r="K421" t="s">
        <v>29</v>
      </c>
      <c r="L421" t="s">
        <v>49</v>
      </c>
      <c r="M421">
        <v>1</v>
      </c>
    </row>
    <row r="422" spans="1:13" x14ac:dyDescent="0.2">
      <c r="A422">
        <v>421</v>
      </c>
      <c r="B422" t="s">
        <v>42</v>
      </c>
      <c r="C422" s="2">
        <v>45617</v>
      </c>
      <c r="D422" t="s">
        <v>43</v>
      </c>
      <c r="E422" t="s">
        <v>15</v>
      </c>
      <c r="F422" t="s">
        <v>34</v>
      </c>
      <c r="G422" t="s">
        <v>35</v>
      </c>
      <c r="H422">
        <v>4</v>
      </c>
      <c r="I422">
        <v>0.15</v>
      </c>
      <c r="J422">
        <v>438.6</v>
      </c>
      <c r="K422" t="s">
        <v>27</v>
      </c>
      <c r="L422" t="s">
        <v>45</v>
      </c>
      <c r="M422" t="b">
        <v>1</v>
      </c>
    </row>
    <row r="423" spans="1:13" x14ac:dyDescent="0.2">
      <c r="A423">
        <v>422</v>
      </c>
      <c r="B423" t="s">
        <v>42</v>
      </c>
      <c r="C423" s="2">
        <v>45536</v>
      </c>
      <c r="D423" t="s">
        <v>43</v>
      </c>
      <c r="E423" t="s">
        <v>15</v>
      </c>
      <c r="F423" t="s">
        <v>66</v>
      </c>
      <c r="G423" t="s">
        <v>67</v>
      </c>
      <c r="H423">
        <v>3</v>
      </c>
      <c r="I423">
        <v>0.05</v>
      </c>
      <c r="J423">
        <v>367.65</v>
      </c>
      <c r="K423" t="s">
        <v>18</v>
      </c>
      <c r="L423" t="s">
        <v>49</v>
      </c>
      <c r="M423" t="b">
        <v>1</v>
      </c>
    </row>
    <row r="424" spans="1:13" x14ac:dyDescent="0.2">
      <c r="A424">
        <v>423</v>
      </c>
      <c r="B424" t="s">
        <v>68</v>
      </c>
      <c r="C424" s="2">
        <v>45212</v>
      </c>
      <c r="D424" t="s">
        <v>69</v>
      </c>
      <c r="E424" t="s">
        <v>33</v>
      </c>
      <c r="F424" t="s">
        <v>21</v>
      </c>
      <c r="G424" t="s">
        <v>22</v>
      </c>
      <c r="H424">
        <v>4</v>
      </c>
      <c r="I424">
        <v>0.2</v>
      </c>
      <c r="J424">
        <v>380.8</v>
      </c>
      <c r="K424" t="s">
        <v>80</v>
      </c>
      <c r="L424" t="s">
        <v>41</v>
      </c>
      <c r="M424" t="b">
        <v>0</v>
      </c>
    </row>
    <row r="425" spans="1:13" x14ac:dyDescent="0.2">
      <c r="A425">
        <v>424</v>
      </c>
      <c r="B425" t="s">
        <v>42</v>
      </c>
      <c r="C425" s="1">
        <v>45546</v>
      </c>
      <c r="D425" t="s">
        <v>43</v>
      </c>
      <c r="E425" t="s">
        <v>15</v>
      </c>
      <c r="F425" t="s">
        <v>26</v>
      </c>
      <c r="G425" t="s">
        <v>22</v>
      </c>
      <c r="H425">
        <v>4</v>
      </c>
      <c r="I425">
        <v>0</v>
      </c>
      <c r="J425">
        <v>516</v>
      </c>
      <c r="K425" t="s">
        <v>29</v>
      </c>
      <c r="L425" t="s">
        <v>45</v>
      </c>
      <c r="M425" t="b">
        <v>1</v>
      </c>
    </row>
    <row r="426" spans="1:13" x14ac:dyDescent="0.2">
      <c r="A426">
        <v>425</v>
      </c>
      <c r="B426" t="s">
        <v>83</v>
      </c>
      <c r="C426" s="2">
        <v>45486</v>
      </c>
      <c r="D426" t="s">
        <v>84</v>
      </c>
      <c r="E426" t="s">
        <v>48</v>
      </c>
      <c r="F426" t="s">
        <v>53</v>
      </c>
      <c r="G426" t="s">
        <v>54</v>
      </c>
      <c r="H426">
        <v>4</v>
      </c>
      <c r="I426">
        <v>0.1</v>
      </c>
      <c r="J426">
        <v>179.82</v>
      </c>
      <c r="K426" t="s">
        <v>80</v>
      </c>
      <c r="L426" t="s">
        <v>49</v>
      </c>
      <c r="M426">
        <v>0</v>
      </c>
    </row>
    <row r="427" spans="1:13" x14ac:dyDescent="0.2">
      <c r="A427">
        <v>426</v>
      </c>
      <c r="B427" t="s">
        <v>58</v>
      </c>
      <c r="C427" s="2">
        <v>45095</v>
      </c>
      <c r="D427" t="s">
        <v>59</v>
      </c>
      <c r="E427" t="s">
        <v>15</v>
      </c>
      <c r="F427" t="s">
        <v>44</v>
      </c>
      <c r="H427">
        <v>1</v>
      </c>
      <c r="I427">
        <v>0</v>
      </c>
      <c r="J427">
        <v>59.95</v>
      </c>
      <c r="K427" t="s">
        <v>36</v>
      </c>
      <c r="L427" t="s">
        <v>30</v>
      </c>
      <c r="M427">
        <v>1</v>
      </c>
    </row>
    <row r="428" spans="1:13" x14ac:dyDescent="0.2">
      <c r="A428">
        <v>427</v>
      </c>
      <c r="B428" t="s">
        <v>83</v>
      </c>
      <c r="C428" s="2">
        <v>45196</v>
      </c>
      <c r="D428" t="s">
        <v>25</v>
      </c>
      <c r="E428" t="s">
        <v>25</v>
      </c>
      <c r="F428" t="s">
        <v>44</v>
      </c>
      <c r="H428">
        <v>5</v>
      </c>
      <c r="I428">
        <v>0</v>
      </c>
      <c r="J428">
        <v>249.75</v>
      </c>
      <c r="K428" t="s">
        <v>29</v>
      </c>
      <c r="L428" t="s">
        <v>23</v>
      </c>
      <c r="M428" t="s">
        <v>25</v>
      </c>
    </row>
    <row r="429" spans="1:13" x14ac:dyDescent="0.2">
      <c r="A429">
        <v>428</v>
      </c>
      <c r="B429" t="s">
        <v>68</v>
      </c>
      <c r="C429" s="2">
        <v>45026</v>
      </c>
      <c r="D429" t="s">
        <v>69</v>
      </c>
      <c r="E429" t="s">
        <v>33</v>
      </c>
      <c r="F429" t="s">
        <v>40</v>
      </c>
      <c r="G429" t="s">
        <v>17</v>
      </c>
      <c r="H429">
        <v>5</v>
      </c>
      <c r="I429">
        <v>0</v>
      </c>
      <c r="J429">
        <v>595</v>
      </c>
      <c r="K429" t="s">
        <v>29</v>
      </c>
      <c r="L429" t="s">
        <v>49</v>
      </c>
      <c r="M429" t="b">
        <v>0</v>
      </c>
    </row>
    <row r="430" spans="1:13" x14ac:dyDescent="0.2">
      <c r="A430">
        <v>429</v>
      </c>
      <c r="B430" t="s">
        <v>50</v>
      </c>
      <c r="C430" s="2">
        <v>45478</v>
      </c>
      <c r="D430" t="s">
        <v>25</v>
      </c>
      <c r="E430" t="s">
        <v>25</v>
      </c>
      <c r="G430" t="s">
        <v>25</v>
      </c>
      <c r="H430">
        <v>1</v>
      </c>
      <c r="I430">
        <v>0.15</v>
      </c>
      <c r="J430">
        <v>59.46</v>
      </c>
      <c r="K430" t="s">
        <v>27</v>
      </c>
      <c r="L430" t="s">
        <v>45</v>
      </c>
      <c r="M430" t="s">
        <v>25</v>
      </c>
    </row>
    <row r="431" spans="1:13" x14ac:dyDescent="0.2">
      <c r="A431">
        <v>430</v>
      </c>
      <c r="B431" t="s">
        <v>88</v>
      </c>
      <c r="C431" s="1">
        <v>45634</v>
      </c>
      <c r="D431" t="s">
        <v>89</v>
      </c>
      <c r="E431" t="s">
        <v>33</v>
      </c>
      <c r="F431" t="s">
        <v>21</v>
      </c>
      <c r="G431" t="s">
        <v>22</v>
      </c>
      <c r="H431">
        <v>5</v>
      </c>
      <c r="I431">
        <v>0</v>
      </c>
      <c r="J431">
        <v>990</v>
      </c>
      <c r="K431" t="s">
        <v>27</v>
      </c>
      <c r="L431" t="s">
        <v>41</v>
      </c>
      <c r="M431" t="b">
        <v>0</v>
      </c>
    </row>
    <row r="432" spans="1:13" x14ac:dyDescent="0.2">
      <c r="A432">
        <v>431</v>
      </c>
      <c r="B432" t="s">
        <v>56</v>
      </c>
      <c r="C432" s="1">
        <v>45231</v>
      </c>
      <c r="D432" t="s">
        <v>57</v>
      </c>
      <c r="E432" t="s">
        <v>48</v>
      </c>
      <c r="F432" t="s">
        <v>16</v>
      </c>
      <c r="G432" t="s">
        <v>17</v>
      </c>
      <c r="H432">
        <v>2</v>
      </c>
      <c r="I432">
        <v>0.1</v>
      </c>
      <c r="J432">
        <v>153</v>
      </c>
      <c r="K432" t="s">
        <v>27</v>
      </c>
      <c r="L432" t="s">
        <v>30</v>
      </c>
      <c r="M432">
        <v>1</v>
      </c>
    </row>
    <row r="433" spans="1:13" x14ac:dyDescent="0.2">
      <c r="A433">
        <v>432</v>
      </c>
      <c r="B433" t="s">
        <v>85</v>
      </c>
      <c r="C433" s="1">
        <v>45236</v>
      </c>
      <c r="D433" t="s">
        <v>86</v>
      </c>
      <c r="E433" t="s">
        <v>76</v>
      </c>
      <c r="F433" t="s">
        <v>44</v>
      </c>
      <c r="H433">
        <v>2</v>
      </c>
      <c r="I433">
        <v>0.15</v>
      </c>
      <c r="J433">
        <v>152.91999999999999</v>
      </c>
      <c r="K433" t="s">
        <v>36</v>
      </c>
      <c r="L433" t="s">
        <v>55</v>
      </c>
      <c r="M433" t="s">
        <v>73</v>
      </c>
    </row>
    <row r="434" spans="1:13" x14ac:dyDescent="0.2">
      <c r="A434">
        <v>433</v>
      </c>
      <c r="B434" t="s">
        <v>13</v>
      </c>
      <c r="C434" s="1">
        <v>45603</v>
      </c>
      <c r="D434" t="s">
        <v>14</v>
      </c>
      <c r="E434" t="s">
        <v>15</v>
      </c>
      <c r="F434" t="s">
        <v>66</v>
      </c>
      <c r="G434" t="s">
        <v>67</v>
      </c>
      <c r="H434">
        <v>5</v>
      </c>
      <c r="I434">
        <v>0</v>
      </c>
      <c r="J434">
        <v>99.95</v>
      </c>
      <c r="K434" t="s">
        <v>18</v>
      </c>
      <c r="L434" t="s">
        <v>41</v>
      </c>
      <c r="M434">
        <v>0</v>
      </c>
    </row>
    <row r="435" spans="1:13" x14ac:dyDescent="0.2">
      <c r="A435">
        <v>434</v>
      </c>
      <c r="B435" t="s">
        <v>78</v>
      </c>
      <c r="C435" s="2">
        <v>45173</v>
      </c>
      <c r="D435" t="s">
        <v>79</v>
      </c>
      <c r="E435" t="s">
        <v>48</v>
      </c>
      <c r="F435" t="s">
        <v>26</v>
      </c>
      <c r="G435" t="s">
        <v>22</v>
      </c>
      <c r="H435">
        <v>2</v>
      </c>
      <c r="I435">
        <v>0.15</v>
      </c>
      <c r="J435">
        <v>67.92</v>
      </c>
      <c r="K435" t="s">
        <v>18</v>
      </c>
      <c r="L435" t="s">
        <v>41</v>
      </c>
      <c r="M435">
        <v>1</v>
      </c>
    </row>
    <row r="436" spans="1:13" x14ac:dyDescent="0.2">
      <c r="A436">
        <v>435</v>
      </c>
      <c r="B436" t="s">
        <v>50</v>
      </c>
      <c r="C436" s="2">
        <v>45171</v>
      </c>
      <c r="D436" t="s">
        <v>51</v>
      </c>
      <c r="E436" t="s">
        <v>15</v>
      </c>
      <c r="F436" t="s">
        <v>53</v>
      </c>
      <c r="G436" t="s">
        <v>54</v>
      </c>
      <c r="H436">
        <v>2</v>
      </c>
      <c r="I436">
        <v>0.1</v>
      </c>
      <c r="J436">
        <v>125.91</v>
      </c>
      <c r="K436" t="s">
        <v>29</v>
      </c>
      <c r="L436" t="s">
        <v>63</v>
      </c>
      <c r="M436">
        <v>0</v>
      </c>
    </row>
    <row r="437" spans="1:13" x14ac:dyDescent="0.2">
      <c r="A437">
        <v>436</v>
      </c>
      <c r="B437" t="s">
        <v>37</v>
      </c>
      <c r="C437" s="2">
        <v>45191</v>
      </c>
      <c r="D437" t="s">
        <v>25</v>
      </c>
      <c r="E437" t="s">
        <v>25</v>
      </c>
      <c r="F437" t="s">
        <v>26</v>
      </c>
      <c r="G437" t="s">
        <v>22</v>
      </c>
      <c r="H437">
        <v>2</v>
      </c>
      <c r="I437">
        <v>0.1</v>
      </c>
      <c r="J437">
        <v>116.91</v>
      </c>
      <c r="K437" t="s">
        <v>27</v>
      </c>
      <c r="L437" t="s">
        <v>45</v>
      </c>
      <c r="M437" t="s">
        <v>25</v>
      </c>
    </row>
    <row r="438" spans="1:13" x14ac:dyDescent="0.2">
      <c r="A438">
        <v>437</v>
      </c>
      <c r="B438" t="s">
        <v>42</v>
      </c>
      <c r="C438" s="2">
        <v>45070</v>
      </c>
      <c r="D438" t="s">
        <v>43</v>
      </c>
      <c r="E438" t="s">
        <v>15</v>
      </c>
      <c r="F438" t="s">
        <v>53</v>
      </c>
      <c r="G438" t="s">
        <v>54</v>
      </c>
      <c r="H438">
        <v>4</v>
      </c>
      <c r="I438">
        <v>0.15</v>
      </c>
      <c r="J438">
        <v>438.6</v>
      </c>
      <c r="K438" t="s">
        <v>29</v>
      </c>
      <c r="L438" t="s">
        <v>55</v>
      </c>
      <c r="M438" t="b">
        <v>1</v>
      </c>
    </row>
    <row r="439" spans="1:13" x14ac:dyDescent="0.2">
      <c r="A439">
        <v>438</v>
      </c>
      <c r="B439" t="s">
        <v>19</v>
      </c>
      <c r="C439" s="1">
        <v>45525</v>
      </c>
      <c r="D439" t="s">
        <v>20</v>
      </c>
      <c r="E439" t="s">
        <v>15</v>
      </c>
      <c r="F439" t="s">
        <v>16</v>
      </c>
      <c r="G439" t="s">
        <v>17</v>
      </c>
      <c r="H439">
        <v>5</v>
      </c>
      <c r="I439">
        <v>0</v>
      </c>
      <c r="J439">
        <v>449.75</v>
      </c>
      <c r="K439" t="s">
        <v>52</v>
      </c>
      <c r="L439" t="s">
        <v>49</v>
      </c>
      <c r="M439" t="b">
        <v>1</v>
      </c>
    </row>
    <row r="440" spans="1:13" x14ac:dyDescent="0.2">
      <c r="A440">
        <v>439</v>
      </c>
      <c r="B440" t="s">
        <v>81</v>
      </c>
      <c r="C440" s="2">
        <v>45042</v>
      </c>
      <c r="D440" t="s">
        <v>82</v>
      </c>
      <c r="E440" t="s">
        <v>15</v>
      </c>
      <c r="F440" t="s">
        <v>53</v>
      </c>
      <c r="G440" t="s">
        <v>54</v>
      </c>
      <c r="H440">
        <v>1</v>
      </c>
      <c r="I440">
        <v>0.25</v>
      </c>
      <c r="J440">
        <v>59.96</v>
      </c>
      <c r="K440" t="s">
        <v>36</v>
      </c>
      <c r="L440" t="s">
        <v>49</v>
      </c>
      <c r="M440" t="s">
        <v>73</v>
      </c>
    </row>
    <row r="441" spans="1:13" x14ac:dyDescent="0.2">
      <c r="A441">
        <v>440</v>
      </c>
      <c r="B441" t="s">
        <v>13</v>
      </c>
      <c r="C441" s="2">
        <v>45614</v>
      </c>
      <c r="D441" t="s">
        <v>14</v>
      </c>
      <c r="E441" t="s">
        <v>15</v>
      </c>
      <c r="F441" t="s">
        <v>53</v>
      </c>
      <c r="G441" t="s">
        <v>54</v>
      </c>
      <c r="H441">
        <v>5</v>
      </c>
      <c r="I441">
        <v>0</v>
      </c>
      <c r="J441">
        <v>99.95</v>
      </c>
      <c r="K441" t="s">
        <v>36</v>
      </c>
      <c r="L441" t="s">
        <v>23</v>
      </c>
      <c r="M441">
        <v>0</v>
      </c>
    </row>
    <row r="442" spans="1:13" x14ac:dyDescent="0.2">
      <c r="A442">
        <v>441</v>
      </c>
      <c r="B442" t="s">
        <v>74</v>
      </c>
      <c r="C442" s="2">
        <v>45019</v>
      </c>
      <c r="D442" t="s">
        <v>75</v>
      </c>
      <c r="E442" t="s">
        <v>76</v>
      </c>
      <c r="F442" t="s">
        <v>44</v>
      </c>
      <c r="H442">
        <v>1</v>
      </c>
      <c r="I442">
        <v>0.2</v>
      </c>
      <c r="J442">
        <v>35.96</v>
      </c>
      <c r="K442" t="s">
        <v>52</v>
      </c>
      <c r="L442" t="s">
        <v>30</v>
      </c>
      <c r="M442" t="s">
        <v>77</v>
      </c>
    </row>
    <row r="443" spans="1:13" x14ac:dyDescent="0.2">
      <c r="A443">
        <v>442</v>
      </c>
      <c r="B443" t="s">
        <v>42</v>
      </c>
      <c r="C443" s="2">
        <v>45359</v>
      </c>
      <c r="D443" t="s">
        <v>43</v>
      </c>
      <c r="E443" t="s">
        <v>15</v>
      </c>
      <c r="F443" t="s">
        <v>53</v>
      </c>
      <c r="G443" t="s">
        <v>54</v>
      </c>
      <c r="H443">
        <v>4</v>
      </c>
      <c r="I443">
        <v>0.25</v>
      </c>
      <c r="J443">
        <v>387</v>
      </c>
      <c r="K443" t="s">
        <v>52</v>
      </c>
      <c r="L443" t="s">
        <v>28</v>
      </c>
      <c r="M443" t="b">
        <v>1</v>
      </c>
    </row>
    <row r="444" spans="1:13" x14ac:dyDescent="0.2">
      <c r="A444">
        <v>443</v>
      </c>
      <c r="B444" t="s">
        <v>58</v>
      </c>
      <c r="C444" s="2">
        <v>45337</v>
      </c>
      <c r="D444" t="s">
        <v>59</v>
      </c>
      <c r="E444" t="s">
        <v>15</v>
      </c>
      <c r="F444" t="s">
        <v>26</v>
      </c>
      <c r="G444" t="s">
        <v>22</v>
      </c>
      <c r="H444">
        <v>2</v>
      </c>
      <c r="I444">
        <v>0.25</v>
      </c>
      <c r="J444">
        <v>89.93</v>
      </c>
      <c r="K444" t="s">
        <v>27</v>
      </c>
      <c r="L444" t="s">
        <v>45</v>
      </c>
      <c r="M444">
        <v>1</v>
      </c>
    </row>
    <row r="445" spans="1:13" x14ac:dyDescent="0.2">
      <c r="A445">
        <v>444</v>
      </c>
      <c r="B445" t="s">
        <v>88</v>
      </c>
      <c r="C445" s="1">
        <v>45104</v>
      </c>
      <c r="D445" t="s">
        <v>89</v>
      </c>
      <c r="E445" t="s">
        <v>33</v>
      </c>
      <c r="F445" t="s">
        <v>21</v>
      </c>
      <c r="G445" t="s">
        <v>22</v>
      </c>
      <c r="H445">
        <v>4</v>
      </c>
      <c r="I445">
        <v>0.25</v>
      </c>
      <c r="J445">
        <v>594</v>
      </c>
      <c r="K445" t="s">
        <v>52</v>
      </c>
      <c r="L445" t="s">
        <v>45</v>
      </c>
      <c r="M445" t="b">
        <v>0</v>
      </c>
    </row>
    <row r="446" spans="1:13" x14ac:dyDescent="0.2">
      <c r="A446">
        <v>445</v>
      </c>
      <c r="B446" t="s">
        <v>13</v>
      </c>
      <c r="C446" s="2">
        <v>45130</v>
      </c>
      <c r="D446" t="s">
        <v>14</v>
      </c>
      <c r="E446" t="s">
        <v>15</v>
      </c>
      <c r="F446" t="s">
        <v>34</v>
      </c>
      <c r="G446" t="s">
        <v>35</v>
      </c>
      <c r="H446">
        <v>1</v>
      </c>
      <c r="I446">
        <v>0.05</v>
      </c>
      <c r="J446">
        <v>18.989999999999998</v>
      </c>
      <c r="K446" t="s">
        <v>29</v>
      </c>
      <c r="L446" t="s">
        <v>55</v>
      </c>
      <c r="M446">
        <v>0</v>
      </c>
    </row>
    <row r="447" spans="1:13" x14ac:dyDescent="0.2">
      <c r="A447">
        <v>446</v>
      </c>
      <c r="B447" t="s">
        <v>13</v>
      </c>
      <c r="C447" s="2">
        <v>45433</v>
      </c>
      <c r="D447" t="s">
        <v>14</v>
      </c>
      <c r="E447" t="s">
        <v>15</v>
      </c>
      <c r="F447" t="s">
        <v>16</v>
      </c>
      <c r="G447" t="s">
        <v>17</v>
      </c>
      <c r="H447">
        <v>5</v>
      </c>
      <c r="I447">
        <v>0.2</v>
      </c>
      <c r="J447">
        <v>79.959999999999994</v>
      </c>
      <c r="K447" t="s">
        <v>36</v>
      </c>
      <c r="L447" t="s">
        <v>41</v>
      </c>
      <c r="M447">
        <v>0</v>
      </c>
    </row>
    <row r="448" spans="1:13" x14ac:dyDescent="0.2">
      <c r="A448">
        <v>447</v>
      </c>
      <c r="B448" t="s">
        <v>71</v>
      </c>
      <c r="C448" s="2">
        <v>45111</v>
      </c>
      <c r="D448" t="s">
        <v>72</v>
      </c>
      <c r="E448" t="s">
        <v>33</v>
      </c>
      <c r="F448" t="s">
        <v>34</v>
      </c>
      <c r="G448" t="s">
        <v>35</v>
      </c>
      <c r="H448">
        <v>2</v>
      </c>
      <c r="I448">
        <v>0.1</v>
      </c>
      <c r="J448">
        <v>107.91</v>
      </c>
      <c r="K448" t="s">
        <v>29</v>
      </c>
      <c r="L448" t="s">
        <v>63</v>
      </c>
      <c r="M448" t="s">
        <v>73</v>
      </c>
    </row>
    <row r="449" spans="1:13" x14ac:dyDescent="0.2">
      <c r="A449">
        <v>448</v>
      </c>
      <c r="B449" t="s">
        <v>42</v>
      </c>
      <c r="C449" s="2">
        <v>45636</v>
      </c>
      <c r="D449" t="s">
        <v>43</v>
      </c>
      <c r="E449" t="s">
        <v>15</v>
      </c>
      <c r="F449" t="s">
        <v>44</v>
      </c>
      <c r="H449">
        <v>1</v>
      </c>
      <c r="I449">
        <v>0.25</v>
      </c>
      <c r="J449">
        <v>96.75</v>
      </c>
      <c r="K449" t="s">
        <v>52</v>
      </c>
      <c r="M449" t="b">
        <v>1</v>
      </c>
    </row>
    <row r="450" spans="1:13" x14ac:dyDescent="0.2">
      <c r="A450">
        <v>449</v>
      </c>
      <c r="B450" t="s">
        <v>83</v>
      </c>
      <c r="C450" s="1">
        <v>45443</v>
      </c>
      <c r="D450" t="s">
        <v>25</v>
      </c>
      <c r="E450" t="s">
        <v>25</v>
      </c>
      <c r="F450" t="s">
        <v>34</v>
      </c>
      <c r="G450" t="s">
        <v>35</v>
      </c>
      <c r="H450">
        <v>3</v>
      </c>
      <c r="I450">
        <v>0</v>
      </c>
      <c r="J450">
        <v>149.85</v>
      </c>
      <c r="K450" t="s">
        <v>52</v>
      </c>
      <c r="L450" t="s">
        <v>23</v>
      </c>
      <c r="M450" t="s">
        <v>25</v>
      </c>
    </row>
    <row r="451" spans="1:13" x14ac:dyDescent="0.2">
      <c r="A451">
        <v>450</v>
      </c>
      <c r="B451" t="s">
        <v>88</v>
      </c>
      <c r="C451" s="1">
        <v>45654</v>
      </c>
      <c r="D451" t="s">
        <v>89</v>
      </c>
      <c r="E451" t="s">
        <v>33</v>
      </c>
      <c r="F451" t="s">
        <v>44</v>
      </c>
      <c r="H451">
        <v>4</v>
      </c>
      <c r="I451">
        <v>0</v>
      </c>
      <c r="J451">
        <v>792</v>
      </c>
      <c r="K451" t="s">
        <v>52</v>
      </c>
      <c r="L451" t="s">
        <v>55</v>
      </c>
      <c r="M451" t="b">
        <v>0</v>
      </c>
    </row>
    <row r="452" spans="1:13" x14ac:dyDescent="0.2">
      <c r="A452">
        <v>451</v>
      </c>
      <c r="B452" t="s">
        <v>50</v>
      </c>
      <c r="C452" s="2">
        <v>45095</v>
      </c>
      <c r="D452" t="s">
        <v>51</v>
      </c>
      <c r="E452" t="s">
        <v>15</v>
      </c>
      <c r="F452" t="s">
        <v>21</v>
      </c>
      <c r="G452" t="s">
        <v>22</v>
      </c>
      <c r="H452">
        <v>3</v>
      </c>
      <c r="I452">
        <v>0.1</v>
      </c>
      <c r="J452">
        <v>188.87</v>
      </c>
      <c r="K452" t="s">
        <v>29</v>
      </c>
      <c r="L452" t="s">
        <v>49</v>
      </c>
      <c r="M452">
        <v>0</v>
      </c>
    </row>
    <row r="453" spans="1:13" x14ac:dyDescent="0.2">
      <c r="A453">
        <v>452</v>
      </c>
      <c r="B453" t="s">
        <v>19</v>
      </c>
      <c r="C453" s="1">
        <v>45094</v>
      </c>
      <c r="D453" t="s">
        <v>20</v>
      </c>
      <c r="E453" t="s">
        <v>15</v>
      </c>
      <c r="F453" t="s">
        <v>26</v>
      </c>
      <c r="G453" t="s">
        <v>22</v>
      </c>
      <c r="H453">
        <v>2</v>
      </c>
      <c r="I453">
        <v>0</v>
      </c>
      <c r="J453">
        <v>179.9</v>
      </c>
      <c r="K453" t="s">
        <v>52</v>
      </c>
      <c r="L453" t="s">
        <v>41</v>
      </c>
      <c r="M453" t="b">
        <v>1</v>
      </c>
    </row>
    <row r="454" spans="1:13" x14ac:dyDescent="0.2">
      <c r="A454">
        <v>453</v>
      </c>
      <c r="B454" t="s">
        <v>83</v>
      </c>
      <c r="C454" s="2">
        <v>45022</v>
      </c>
      <c r="D454" t="s">
        <v>84</v>
      </c>
      <c r="E454" t="s">
        <v>48</v>
      </c>
      <c r="F454" t="s">
        <v>44</v>
      </c>
      <c r="H454">
        <v>1</v>
      </c>
      <c r="I454">
        <v>0</v>
      </c>
      <c r="J454">
        <v>49.95</v>
      </c>
      <c r="K454" t="s">
        <v>52</v>
      </c>
      <c r="L454" t="s">
        <v>55</v>
      </c>
      <c r="M454">
        <v>0</v>
      </c>
    </row>
    <row r="455" spans="1:13" x14ac:dyDescent="0.2">
      <c r="A455">
        <v>454</v>
      </c>
      <c r="B455" t="s">
        <v>78</v>
      </c>
      <c r="C455" s="2">
        <v>45179</v>
      </c>
      <c r="D455" t="s">
        <v>79</v>
      </c>
      <c r="E455" t="s">
        <v>48</v>
      </c>
      <c r="F455" t="s">
        <v>26</v>
      </c>
      <c r="G455" t="s">
        <v>22</v>
      </c>
      <c r="H455">
        <v>5</v>
      </c>
      <c r="I455">
        <v>0</v>
      </c>
      <c r="J455">
        <v>199.75</v>
      </c>
      <c r="K455" t="s">
        <v>27</v>
      </c>
      <c r="L455" t="s">
        <v>28</v>
      </c>
      <c r="M455">
        <v>1</v>
      </c>
    </row>
    <row r="456" spans="1:13" x14ac:dyDescent="0.2">
      <c r="A456">
        <v>455</v>
      </c>
      <c r="B456" t="s">
        <v>61</v>
      </c>
      <c r="C456" s="2">
        <v>45602</v>
      </c>
      <c r="D456" t="s">
        <v>62</v>
      </c>
      <c r="E456" t="s">
        <v>33</v>
      </c>
      <c r="F456" t="s">
        <v>40</v>
      </c>
      <c r="G456" t="s">
        <v>17</v>
      </c>
      <c r="H456">
        <v>1</v>
      </c>
      <c r="I456">
        <v>0</v>
      </c>
      <c r="J456">
        <v>34.99</v>
      </c>
      <c r="K456" t="s">
        <v>36</v>
      </c>
      <c r="L456" t="s">
        <v>41</v>
      </c>
      <c r="M456">
        <v>0</v>
      </c>
    </row>
    <row r="457" spans="1:13" x14ac:dyDescent="0.2">
      <c r="A457">
        <v>456</v>
      </c>
      <c r="B457" t="s">
        <v>37</v>
      </c>
      <c r="C457" s="1">
        <v>44999</v>
      </c>
      <c r="D457" t="s">
        <v>38</v>
      </c>
      <c r="E457" t="s">
        <v>39</v>
      </c>
      <c r="F457" t="s">
        <v>66</v>
      </c>
      <c r="G457" t="s">
        <v>67</v>
      </c>
      <c r="H457">
        <v>1</v>
      </c>
      <c r="I457">
        <v>0.1</v>
      </c>
      <c r="J457">
        <v>58.46</v>
      </c>
      <c r="K457" t="s">
        <v>27</v>
      </c>
      <c r="L457" t="s">
        <v>49</v>
      </c>
      <c r="M457">
        <v>1</v>
      </c>
    </row>
    <row r="458" spans="1:13" x14ac:dyDescent="0.2">
      <c r="A458">
        <v>457</v>
      </c>
      <c r="B458" t="s">
        <v>74</v>
      </c>
      <c r="C458" s="2">
        <v>45232</v>
      </c>
      <c r="D458" t="s">
        <v>75</v>
      </c>
      <c r="E458" t="s">
        <v>76</v>
      </c>
      <c r="F458" t="s">
        <v>66</v>
      </c>
      <c r="G458" t="s">
        <v>67</v>
      </c>
      <c r="H458">
        <v>4</v>
      </c>
      <c r="I458">
        <v>0.1</v>
      </c>
      <c r="J458">
        <v>161.82</v>
      </c>
      <c r="K458" t="s">
        <v>27</v>
      </c>
      <c r="L458" t="s">
        <v>45</v>
      </c>
      <c r="M458" t="s">
        <v>77</v>
      </c>
    </row>
    <row r="459" spans="1:13" x14ac:dyDescent="0.2">
      <c r="A459">
        <v>458</v>
      </c>
      <c r="B459" t="s">
        <v>83</v>
      </c>
      <c r="C459" s="1">
        <v>45503</v>
      </c>
      <c r="D459" t="s">
        <v>84</v>
      </c>
      <c r="E459" t="s">
        <v>48</v>
      </c>
      <c r="F459" t="s">
        <v>34</v>
      </c>
      <c r="G459" t="s">
        <v>35</v>
      </c>
      <c r="H459">
        <v>4</v>
      </c>
      <c r="I459">
        <v>0.2</v>
      </c>
      <c r="J459">
        <v>159.84</v>
      </c>
      <c r="K459" t="s">
        <v>52</v>
      </c>
      <c r="M459">
        <v>0</v>
      </c>
    </row>
    <row r="460" spans="1:13" x14ac:dyDescent="0.2">
      <c r="A460">
        <v>459</v>
      </c>
      <c r="B460" t="s">
        <v>19</v>
      </c>
      <c r="C460" s="2">
        <v>45406</v>
      </c>
      <c r="D460" t="s">
        <v>20</v>
      </c>
      <c r="E460" t="s">
        <v>15</v>
      </c>
      <c r="F460" t="s">
        <v>44</v>
      </c>
      <c r="H460">
        <v>2</v>
      </c>
      <c r="I460">
        <v>0.25</v>
      </c>
      <c r="J460">
        <v>134.93</v>
      </c>
      <c r="K460" t="s">
        <v>52</v>
      </c>
      <c r="L460" t="s">
        <v>55</v>
      </c>
      <c r="M460" t="b">
        <v>1</v>
      </c>
    </row>
    <row r="461" spans="1:13" x14ac:dyDescent="0.2">
      <c r="A461">
        <v>460</v>
      </c>
      <c r="B461" t="s">
        <v>56</v>
      </c>
      <c r="C461" s="2">
        <v>45362</v>
      </c>
      <c r="D461" t="s">
        <v>57</v>
      </c>
      <c r="E461" t="s">
        <v>48</v>
      </c>
      <c r="F461" t="s">
        <v>26</v>
      </c>
      <c r="G461" t="s">
        <v>22</v>
      </c>
      <c r="H461">
        <v>1</v>
      </c>
      <c r="I461">
        <v>0</v>
      </c>
      <c r="J461">
        <v>85</v>
      </c>
      <c r="K461" t="s">
        <v>80</v>
      </c>
      <c r="L461" t="s">
        <v>55</v>
      </c>
      <c r="M461">
        <v>1</v>
      </c>
    </row>
    <row r="462" spans="1:13" x14ac:dyDescent="0.2">
      <c r="A462">
        <v>461</v>
      </c>
      <c r="B462" t="s">
        <v>31</v>
      </c>
      <c r="C462" s="1">
        <v>45353</v>
      </c>
      <c r="D462" t="s">
        <v>32</v>
      </c>
      <c r="E462" t="s">
        <v>33</v>
      </c>
      <c r="F462" t="s">
        <v>44</v>
      </c>
      <c r="H462">
        <v>2</v>
      </c>
      <c r="I462">
        <v>0.2</v>
      </c>
      <c r="J462">
        <v>127.92</v>
      </c>
      <c r="K462" t="s">
        <v>27</v>
      </c>
      <c r="L462" t="s">
        <v>23</v>
      </c>
      <c r="M462" t="b">
        <v>0</v>
      </c>
    </row>
    <row r="463" spans="1:13" x14ac:dyDescent="0.2">
      <c r="A463">
        <v>462</v>
      </c>
      <c r="B463" t="s">
        <v>37</v>
      </c>
      <c r="C463" s="2">
        <v>45035</v>
      </c>
      <c r="D463" t="s">
        <v>38</v>
      </c>
      <c r="E463" t="s">
        <v>39</v>
      </c>
      <c r="F463" t="s">
        <v>66</v>
      </c>
      <c r="G463" t="s">
        <v>67</v>
      </c>
      <c r="H463">
        <v>2</v>
      </c>
      <c r="I463">
        <v>0</v>
      </c>
      <c r="J463">
        <v>129.9</v>
      </c>
      <c r="K463" t="s">
        <v>36</v>
      </c>
      <c r="L463" t="s">
        <v>30</v>
      </c>
      <c r="M463">
        <v>1</v>
      </c>
    </row>
    <row r="464" spans="1:13" x14ac:dyDescent="0.2">
      <c r="A464">
        <v>463</v>
      </c>
      <c r="B464" t="s">
        <v>50</v>
      </c>
      <c r="C464" s="2">
        <v>45016</v>
      </c>
      <c r="D464" t="s">
        <v>25</v>
      </c>
      <c r="E464" t="s">
        <v>25</v>
      </c>
      <c r="F464" t="s">
        <v>44</v>
      </c>
      <c r="H464">
        <v>5</v>
      </c>
      <c r="I464">
        <v>0.15</v>
      </c>
      <c r="J464">
        <v>297.29000000000002</v>
      </c>
      <c r="K464" t="s">
        <v>52</v>
      </c>
      <c r="L464" t="s">
        <v>28</v>
      </c>
      <c r="M464" t="s">
        <v>25</v>
      </c>
    </row>
    <row r="465" spans="1:13" x14ac:dyDescent="0.2">
      <c r="A465">
        <v>464</v>
      </c>
      <c r="B465" t="s">
        <v>85</v>
      </c>
      <c r="C465" s="2">
        <v>45401</v>
      </c>
      <c r="D465" t="s">
        <v>86</v>
      </c>
      <c r="E465" t="s">
        <v>76</v>
      </c>
      <c r="F465" t="s">
        <v>34</v>
      </c>
      <c r="G465" t="s">
        <v>35</v>
      </c>
      <c r="H465">
        <v>5</v>
      </c>
      <c r="I465">
        <v>0.05</v>
      </c>
      <c r="J465">
        <v>427.26</v>
      </c>
      <c r="K465" t="s">
        <v>52</v>
      </c>
      <c r="L465" t="s">
        <v>55</v>
      </c>
      <c r="M465" t="s">
        <v>73</v>
      </c>
    </row>
    <row r="466" spans="1:13" x14ac:dyDescent="0.2">
      <c r="A466">
        <v>465</v>
      </c>
      <c r="B466" t="s">
        <v>81</v>
      </c>
      <c r="C466" s="2">
        <v>45328</v>
      </c>
      <c r="D466" t="s">
        <v>82</v>
      </c>
      <c r="E466" t="s">
        <v>15</v>
      </c>
      <c r="F466" t="s">
        <v>44</v>
      </c>
      <c r="H466">
        <v>2</v>
      </c>
      <c r="I466">
        <v>0.05</v>
      </c>
      <c r="J466">
        <v>151.9</v>
      </c>
      <c r="K466" t="s">
        <v>80</v>
      </c>
      <c r="L466" t="s">
        <v>30</v>
      </c>
      <c r="M466" t="s">
        <v>73</v>
      </c>
    </row>
    <row r="467" spans="1:13" x14ac:dyDescent="0.2">
      <c r="A467">
        <v>466</v>
      </c>
      <c r="B467" t="s">
        <v>58</v>
      </c>
      <c r="C467" s="1">
        <v>45532</v>
      </c>
      <c r="D467" t="s">
        <v>59</v>
      </c>
      <c r="E467" t="s">
        <v>15</v>
      </c>
      <c r="F467" t="s">
        <v>53</v>
      </c>
      <c r="G467" t="s">
        <v>54</v>
      </c>
      <c r="H467">
        <v>4</v>
      </c>
      <c r="I467">
        <v>0.2</v>
      </c>
      <c r="J467">
        <v>191.84</v>
      </c>
      <c r="K467" t="s">
        <v>80</v>
      </c>
      <c r="L467" t="s">
        <v>41</v>
      </c>
      <c r="M467">
        <v>1</v>
      </c>
    </row>
    <row r="468" spans="1:13" x14ac:dyDescent="0.2">
      <c r="A468">
        <v>467</v>
      </c>
      <c r="B468" t="s">
        <v>64</v>
      </c>
      <c r="C468" s="1">
        <v>45564</v>
      </c>
      <c r="D468" t="s">
        <v>65</v>
      </c>
      <c r="E468" t="s">
        <v>33</v>
      </c>
      <c r="F468" t="s">
        <v>16</v>
      </c>
      <c r="G468" t="s">
        <v>17</v>
      </c>
      <c r="H468">
        <v>4</v>
      </c>
      <c r="I468">
        <v>0.25</v>
      </c>
      <c r="J468">
        <v>224.85</v>
      </c>
      <c r="K468" t="s">
        <v>29</v>
      </c>
      <c r="L468" t="s">
        <v>55</v>
      </c>
      <c r="M468">
        <v>0</v>
      </c>
    </row>
    <row r="469" spans="1:13" x14ac:dyDescent="0.2">
      <c r="A469">
        <v>468</v>
      </c>
      <c r="B469" t="s">
        <v>71</v>
      </c>
      <c r="C469" s="2">
        <v>45655</v>
      </c>
      <c r="D469" t="s">
        <v>72</v>
      </c>
      <c r="E469" t="s">
        <v>33</v>
      </c>
      <c r="F469" t="s">
        <v>40</v>
      </c>
      <c r="G469" t="s">
        <v>17</v>
      </c>
      <c r="H469">
        <v>4</v>
      </c>
      <c r="I469">
        <v>0</v>
      </c>
      <c r="J469">
        <v>239.8</v>
      </c>
      <c r="K469" t="s">
        <v>36</v>
      </c>
      <c r="L469" t="s">
        <v>30</v>
      </c>
      <c r="M469" t="s">
        <v>73</v>
      </c>
    </row>
    <row r="470" spans="1:13" x14ac:dyDescent="0.2">
      <c r="A470">
        <v>469</v>
      </c>
      <c r="B470" t="s">
        <v>42</v>
      </c>
      <c r="C470" s="1">
        <v>45087</v>
      </c>
      <c r="D470" t="s">
        <v>43</v>
      </c>
      <c r="E470" t="s">
        <v>15</v>
      </c>
      <c r="F470" t="s">
        <v>53</v>
      </c>
      <c r="G470" t="s">
        <v>54</v>
      </c>
      <c r="H470">
        <v>4</v>
      </c>
      <c r="I470">
        <v>0</v>
      </c>
      <c r="J470">
        <v>516</v>
      </c>
      <c r="K470" t="s">
        <v>18</v>
      </c>
      <c r="L470" t="s">
        <v>45</v>
      </c>
      <c r="M470" t="b">
        <v>1</v>
      </c>
    </row>
    <row r="471" spans="1:13" x14ac:dyDescent="0.2">
      <c r="A471">
        <v>470</v>
      </c>
      <c r="B471" t="s">
        <v>68</v>
      </c>
      <c r="C471" s="2">
        <v>45272</v>
      </c>
      <c r="D471" t="s">
        <v>69</v>
      </c>
      <c r="E471" t="s">
        <v>33</v>
      </c>
      <c r="F471" t="s">
        <v>53</v>
      </c>
      <c r="G471" t="s">
        <v>54</v>
      </c>
      <c r="H471">
        <v>2</v>
      </c>
      <c r="I471">
        <v>0</v>
      </c>
      <c r="J471">
        <v>238</v>
      </c>
      <c r="K471" t="s">
        <v>27</v>
      </c>
      <c r="L471" t="s">
        <v>23</v>
      </c>
      <c r="M471" t="b">
        <v>0</v>
      </c>
    </row>
    <row r="472" spans="1:13" x14ac:dyDescent="0.2">
      <c r="A472">
        <v>471</v>
      </c>
      <c r="B472" t="s">
        <v>61</v>
      </c>
      <c r="C472" s="2">
        <v>45395</v>
      </c>
      <c r="D472" t="s">
        <v>62</v>
      </c>
      <c r="E472" t="s">
        <v>33</v>
      </c>
      <c r="F472" t="s">
        <v>53</v>
      </c>
      <c r="G472" t="s">
        <v>54</v>
      </c>
      <c r="H472">
        <v>5</v>
      </c>
      <c r="I472">
        <v>0</v>
      </c>
      <c r="J472">
        <v>174.95</v>
      </c>
      <c r="K472" t="s">
        <v>29</v>
      </c>
      <c r="L472" t="s">
        <v>23</v>
      </c>
      <c r="M472">
        <v>0</v>
      </c>
    </row>
    <row r="473" spans="1:13" x14ac:dyDescent="0.2">
      <c r="A473">
        <v>472</v>
      </c>
      <c r="B473" t="s">
        <v>37</v>
      </c>
      <c r="C473" s="1">
        <v>45379</v>
      </c>
      <c r="D473" t="s">
        <v>38</v>
      </c>
      <c r="E473" t="s">
        <v>39</v>
      </c>
      <c r="F473" t="s">
        <v>16</v>
      </c>
      <c r="G473" t="s">
        <v>17</v>
      </c>
      <c r="H473">
        <v>3</v>
      </c>
      <c r="I473">
        <v>0</v>
      </c>
      <c r="J473">
        <v>194.85</v>
      </c>
      <c r="K473" t="s">
        <v>36</v>
      </c>
      <c r="L473" t="s">
        <v>30</v>
      </c>
      <c r="M473">
        <v>1</v>
      </c>
    </row>
    <row r="474" spans="1:13" x14ac:dyDescent="0.2">
      <c r="A474">
        <v>473</v>
      </c>
      <c r="B474" t="s">
        <v>19</v>
      </c>
      <c r="C474" s="2">
        <v>45102</v>
      </c>
      <c r="D474" t="s">
        <v>20</v>
      </c>
      <c r="E474" t="s">
        <v>15</v>
      </c>
      <c r="F474" t="s">
        <v>26</v>
      </c>
      <c r="G474" t="s">
        <v>22</v>
      </c>
      <c r="H474">
        <v>4</v>
      </c>
      <c r="I474">
        <v>0.15</v>
      </c>
      <c r="J474">
        <v>305.83</v>
      </c>
      <c r="K474" t="s">
        <v>80</v>
      </c>
      <c r="L474" t="s">
        <v>30</v>
      </c>
      <c r="M474" t="b">
        <v>1</v>
      </c>
    </row>
    <row r="475" spans="1:13" x14ac:dyDescent="0.2">
      <c r="A475">
        <v>474</v>
      </c>
      <c r="B475" t="s">
        <v>85</v>
      </c>
      <c r="C475" s="2">
        <v>45625</v>
      </c>
      <c r="D475" t="s">
        <v>25</v>
      </c>
      <c r="E475" t="s">
        <v>25</v>
      </c>
      <c r="F475" t="s">
        <v>66</v>
      </c>
      <c r="G475" t="s">
        <v>67</v>
      </c>
      <c r="H475">
        <v>4</v>
      </c>
      <c r="I475">
        <v>0.2</v>
      </c>
      <c r="J475">
        <v>287.83999999999997</v>
      </c>
      <c r="K475" t="s">
        <v>80</v>
      </c>
      <c r="L475" t="s">
        <v>41</v>
      </c>
      <c r="M475" t="s">
        <v>25</v>
      </c>
    </row>
    <row r="476" spans="1:13" x14ac:dyDescent="0.2">
      <c r="A476">
        <v>475</v>
      </c>
      <c r="B476" t="s">
        <v>85</v>
      </c>
      <c r="C476" s="2">
        <v>45583</v>
      </c>
      <c r="D476" t="s">
        <v>86</v>
      </c>
      <c r="E476" t="s">
        <v>76</v>
      </c>
      <c r="F476" t="s">
        <v>66</v>
      </c>
      <c r="G476" t="s">
        <v>67</v>
      </c>
      <c r="H476">
        <v>1</v>
      </c>
      <c r="I476">
        <v>0.2</v>
      </c>
      <c r="J476">
        <v>71.959999999999994</v>
      </c>
      <c r="K476" t="s">
        <v>36</v>
      </c>
      <c r="L476" t="s">
        <v>23</v>
      </c>
      <c r="M476" t="s">
        <v>73</v>
      </c>
    </row>
    <row r="477" spans="1:13" x14ac:dyDescent="0.2">
      <c r="A477">
        <v>476</v>
      </c>
      <c r="B477" t="s">
        <v>56</v>
      </c>
      <c r="C477" s="1">
        <v>45213</v>
      </c>
      <c r="D477" t="s">
        <v>57</v>
      </c>
      <c r="E477" t="s">
        <v>48</v>
      </c>
      <c r="F477" t="s">
        <v>21</v>
      </c>
      <c r="G477" t="s">
        <v>22</v>
      </c>
      <c r="H477">
        <v>3</v>
      </c>
      <c r="I477">
        <v>0.15</v>
      </c>
      <c r="J477">
        <v>216.75</v>
      </c>
      <c r="K477" t="s">
        <v>27</v>
      </c>
      <c r="L477" t="s">
        <v>49</v>
      </c>
      <c r="M477">
        <v>1</v>
      </c>
    </row>
    <row r="478" spans="1:13" x14ac:dyDescent="0.2">
      <c r="A478">
        <v>477</v>
      </c>
      <c r="B478" t="s">
        <v>68</v>
      </c>
      <c r="C478" s="1">
        <v>44964</v>
      </c>
      <c r="D478" t="s">
        <v>69</v>
      </c>
      <c r="E478" t="s">
        <v>33</v>
      </c>
      <c r="F478" t="s">
        <v>44</v>
      </c>
      <c r="H478">
        <v>4</v>
      </c>
      <c r="I478">
        <v>0.05</v>
      </c>
      <c r="J478">
        <v>452.2</v>
      </c>
      <c r="K478" t="s">
        <v>27</v>
      </c>
      <c r="L478" t="s">
        <v>30</v>
      </c>
      <c r="M478" t="b">
        <v>0</v>
      </c>
    </row>
    <row r="479" spans="1:13" x14ac:dyDescent="0.2">
      <c r="A479">
        <v>478</v>
      </c>
      <c r="B479" t="s">
        <v>31</v>
      </c>
      <c r="C479" s="1">
        <v>45238</v>
      </c>
      <c r="D479" t="s">
        <v>32</v>
      </c>
      <c r="E479" t="s">
        <v>33</v>
      </c>
      <c r="F479" t="s">
        <v>40</v>
      </c>
      <c r="G479" t="s">
        <v>17</v>
      </c>
      <c r="H479">
        <v>1</v>
      </c>
      <c r="I479">
        <v>0</v>
      </c>
      <c r="J479">
        <v>79.95</v>
      </c>
      <c r="K479" t="s">
        <v>18</v>
      </c>
      <c r="L479" t="s">
        <v>30</v>
      </c>
      <c r="M479" t="b">
        <v>0</v>
      </c>
    </row>
    <row r="480" spans="1:13" x14ac:dyDescent="0.2">
      <c r="A480">
        <v>479</v>
      </c>
      <c r="B480" t="s">
        <v>24</v>
      </c>
      <c r="C480" s="1">
        <v>45168</v>
      </c>
      <c r="D480" t="s">
        <v>87</v>
      </c>
      <c r="E480" t="s">
        <v>39</v>
      </c>
      <c r="F480" t="s">
        <v>16</v>
      </c>
      <c r="G480" t="s">
        <v>17</v>
      </c>
      <c r="H480">
        <v>3</v>
      </c>
      <c r="I480">
        <v>0</v>
      </c>
      <c r="J480">
        <v>134.85</v>
      </c>
      <c r="K480" t="s">
        <v>52</v>
      </c>
      <c r="L480" t="s">
        <v>41</v>
      </c>
      <c r="M480" t="b">
        <v>1</v>
      </c>
    </row>
    <row r="481" spans="1:13" x14ac:dyDescent="0.2">
      <c r="A481">
        <v>480</v>
      </c>
      <c r="B481" t="s">
        <v>74</v>
      </c>
      <c r="C481" s="1">
        <v>45455</v>
      </c>
      <c r="D481" t="s">
        <v>75</v>
      </c>
      <c r="E481" t="s">
        <v>76</v>
      </c>
      <c r="F481" t="s">
        <v>66</v>
      </c>
      <c r="G481" t="s">
        <v>67</v>
      </c>
      <c r="H481">
        <v>5</v>
      </c>
      <c r="I481">
        <v>0.05</v>
      </c>
      <c r="J481">
        <v>213.51</v>
      </c>
      <c r="K481" t="s">
        <v>52</v>
      </c>
      <c r="L481" t="s">
        <v>55</v>
      </c>
      <c r="M481" t="s">
        <v>77</v>
      </c>
    </row>
    <row r="482" spans="1:13" x14ac:dyDescent="0.2">
      <c r="A482">
        <v>481</v>
      </c>
      <c r="B482" t="s">
        <v>83</v>
      </c>
      <c r="C482" s="1">
        <v>45620</v>
      </c>
      <c r="D482" t="s">
        <v>84</v>
      </c>
      <c r="E482" t="s">
        <v>48</v>
      </c>
      <c r="F482" t="s">
        <v>66</v>
      </c>
      <c r="G482" t="s">
        <v>67</v>
      </c>
      <c r="H482">
        <v>2</v>
      </c>
      <c r="I482">
        <v>0.25</v>
      </c>
      <c r="J482">
        <v>74.930000000000007</v>
      </c>
      <c r="K482" t="s">
        <v>52</v>
      </c>
      <c r="L482" t="s">
        <v>55</v>
      </c>
      <c r="M482">
        <v>0</v>
      </c>
    </row>
    <row r="483" spans="1:13" x14ac:dyDescent="0.2">
      <c r="A483">
        <v>482</v>
      </c>
      <c r="B483" t="s">
        <v>85</v>
      </c>
      <c r="C483" s="2">
        <v>45655</v>
      </c>
      <c r="D483" t="s">
        <v>86</v>
      </c>
      <c r="E483" t="s">
        <v>76</v>
      </c>
      <c r="F483" t="s">
        <v>44</v>
      </c>
      <c r="H483">
        <v>2</v>
      </c>
      <c r="I483">
        <v>0</v>
      </c>
      <c r="J483">
        <v>179.9</v>
      </c>
      <c r="K483" t="s">
        <v>29</v>
      </c>
      <c r="L483" t="s">
        <v>45</v>
      </c>
      <c r="M483" t="s">
        <v>73</v>
      </c>
    </row>
    <row r="484" spans="1:13" x14ac:dyDescent="0.2">
      <c r="A484">
        <v>483</v>
      </c>
      <c r="B484" t="s">
        <v>46</v>
      </c>
      <c r="C484" s="1">
        <v>45305</v>
      </c>
      <c r="D484" t="s">
        <v>47</v>
      </c>
      <c r="E484" t="s">
        <v>48</v>
      </c>
      <c r="F484" t="s">
        <v>40</v>
      </c>
      <c r="G484" t="s">
        <v>17</v>
      </c>
      <c r="H484">
        <v>5</v>
      </c>
      <c r="I484">
        <v>0.2</v>
      </c>
      <c r="J484">
        <v>199.8</v>
      </c>
      <c r="K484" t="s">
        <v>27</v>
      </c>
      <c r="M484">
        <v>0</v>
      </c>
    </row>
    <row r="485" spans="1:13" x14ac:dyDescent="0.2">
      <c r="A485">
        <v>484</v>
      </c>
      <c r="B485" t="s">
        <v>58</v>
      </c>
      <c r="C485" s="2">
        <v>45427</v>
      </c>
      <c r="D485" t="s">
        <v>59</v>
      </c>
      <c r="E485" t="s">
        <v>15</v>
      </c>
      <c r="F485" t="s">
        <v>21</v>
      </c>
      <c r="G485" t="s">
        <v>22</v>
      </c>
      <c r="H485">
        <v>3</v>
      </c>
      <c r="I485">
        <v>0.1</v>
      </c>
      <c r="J485">
        <v>161.87</v>
      </c>
      <c r="K485" t="s">
        <v>18</v>
      </c>
      <c r="L485" t="s">
        <v>63</v>
      </c>
      <c r="M485">
        <v>1</v>
      </c>
    </row>
    <row r="486" spans="1:13" x14ac:dyDescent="0.2">
      <c r="A486">
        <v>485</v>
      </c>
      <c r="B486" t="s">
        <v>71</v>
      </c>
      <c r="C486" s="2">
        <v>45610</v>
      </c>
      <c r="D486" t="s">
        <v>72</v>
      </c>
      <c r="E486" t="s">
        <v>33</v>
      </c>
      <c r="F486" t="s">
        <v>44</v>
      </c>
      <c r="H486">
        <v>2</v>
      </c>
      <c r="I486">
        <v>0</v>
      </c>
      <c r="J486">
        <v>119.9</v>
      </c>
      <c r="K486" t="s">
        <v>29</v>
      </c>
      <c r="L486" t="s">
        <v>41</v>
      </c>
      <c r="M486" t="s">
        <v>73</v>
      </c>
    </row>
    <row r="487" spans="1:13" x14ac:dyDescent="0.2">
      <c r="A487">
        <v>486</v>
      </c>
      <c r="B487" t="s">
        <v>24</v>
      </c>
      <c r="C487" s="1">
        <v>44952</v>
      </c>
      <c r="D487" t="s">
        <v>87</v>
      </c>
      <c r="E487" t="s">
        <v>39</v>
      </c>
      <c r="F487" t="s">
        <v>26</v>
      </c>
      <c r="G487" t="s">
        <v>22</v>
      </c>
      <c r="H487">
        <v>3</v>
      </c>
      <c r="I487">
        <v>0</v>
      </c>
      <c r="J487">
        <v>134.85</v>
      </c>
      <c r="K487" t="s">
        <v>36</v>
      </c>
      <c r="L487" t="s">
        <v>45</v>
      </c>
      <c r="M487" t="b">
        <v>1</v>
      </c>
    </row>
    <row r="488" spans="1:13" x14ac:dyDescent="0.2">
      <c r="A488">
        <v>487</v>
      </c>
      <c r="B488" t="s">
        <v>81</v>
      </c>
      <c r="C488" s="2">
        <v>44946</v>
      </c>
      <c r="D488" t="s">
        <v>82</v>
      </c>
      <c r="E488" t="s">
        <v>15</v>
      </c>
      <c r="F488" t="s">
        <v>26</v>
      </c>
      <c r="G488" t="s">
        <v>22</v>
      </c>
      <c r="H488">
        <v>5</v>
      </c>
      <c r="I488">
        <v>0.05</v>
      </c>
      <c r="J488">
        <v>379.76</v>
      </c>
      <c r="K488" t="s">
        <v>80</v>
      </c>
      <c r="L488" t="s">
        <v>41</v>
      </c>
      <c r="M488" t="s">
        <v>73</v>
      </c>
    </row>
    <row r="489" spans="1:13" x14ac:dyDescent="0.2">
      <c r="A489">
        <v>488</v>
      </c>
      <c r="B489" t="s">
        <v>56</v>
      </c>
      <c r="C489" s="2">
        <v>44973</v>
      </c>
      <c r="D489" t="s">
        <v>57</v>
      </c>
      <c r="E489" t="s">
        <v>48</v>
      </c>
      <c r="F489" t="s">
        <v>16</v>
      </c>
      <c r="G489" t="s">
        <v>17</v>
      </c>
      <c r="H489">
        <v>5</v>
      </c>
      <c r="I489">
        <v>0.15</v>
      </c>
      <c r="J489">
        <v>361.25</v>
      </c>
      <c r="K489" t="s">
        <v>80</v>
      </c>
      <c r="L489" t="s">
        <v>28</v>
      </c>
      <c r="M489">
        <v>1</v>
      </c>
    </row>
    <row r="490" spans="1:13" x14ac:dyDescent="0.2">
      <c r="A490">
        <v>489</v>
      </c>
      <c r="B490" t="s">
        <v>46</v>
      </c>
      <c r="C490" s="2">
        <v>45114</v>
      </c>
      <c r="D490" t="s">
        <v>47</v>
      </c>
      <c r="E490" t="s">
        <v>48</v>
      </c>
      <c r="F490" t="s">
        <v>16</v>
      </c>
      <c r="G490" t="s">
        <v>17</v>
      </c>
      <c r="H490">
        <v>5</v>
      </c>
      <c r="I490">
        <v>0</v>
      </c>
      <c r="J490">
        <v>249.75</v>
      </c>
      <c r="K490" t="s">
        <v>18</v>
      </c>
      <c r="L490" t="s">
        <v>30</v>
      </c>
      <c r="M490">
        <v>0</v>
      </c>
    </row>
    <row r="491" spans="1:13" x14ac:dyDescent="0.2">
      <c r="A491">
        <v>490</v>
      </c>
      <c r="B491" t="s">
        <v>74</v>
      </c>
      <c r="C491" s="2">
        <v>45258</v>
      </c>
      <c r="D491" t="s">
        <v>75</v>
      </c>
      <c r="E491" t="s">
        <v>76</v>
      </c>
      <c r="F491" t="s">
        <v>53</v>
      </c>
      <c r="G491" t="s">
        <v>54</v>
      </c>
      <c r="H491">
        <v>1</v>
      </c>
      <c r="I491">
        <v>0.15</v>
      </c>
      <c r="J491">
        <v>38.21</v>
      </c>
      <c r="K491" t="s">
        <v>29</v>
      </c>
      <c r="L491" t="s">
        <v>45</v>
      </c>
      <c r="M491" t="s">
        <v>77</v>
      </c>
    </row>
    <row r="492" spans="1:13" x14ac:dyDescent="0.2">
      <c r="A492">
        <v>491</v>
      </c>
      <c r="B492" t="s">
        <v>46</v>
      </c>
      <c r="C492" s="2">
        <v>45493</v>
      </c>
      <c r="D492" t="s">
        <v>25</v>
      </c>
      <c r="E492" t="s">
        <v>25</v>
      </c>
      <c r="F492" t="s">
        <v>21</v>
      </c>
      <c r="G492" t="s">
        <v>22</v>
      </c>
      <c r="H492">
        <v>3</v>
      </c>
      <c r="I492">
        <v>0</v>
      </c>
      <c r="J492">
        <v>149.85</v>
      </c>
      <c r="K492" t="s">
        <v>29</v>
      </c>
      <c r="L492" t="s">
        <v>49</v>
      </c>
      <c r="M492" t="s">
        <v>25</v>
      </c>
    </row>
    <row r="493" spans="1:13" x14ac:dyDescent="0.2">
      <c r="A493">
        <v>492</v>
      </c>
      <c r="B493" t="s">
        <v>19</v>
      </c>
      <c r="C493" s="2">
        <v>45343</v>
      </c>
      <c r="D493" t="s">
        <v>20</v>
      </c>
      <c r="E493" t="s">
        <v>15</v>
      </c>
      <c r="F493" t="s">
        <v>16</v>
      </c>
      <c r="G493" t="s">
        <v>17</v>
      </c>
      <c r="H493">
        <v>5</v>
      </c>
      <c r="I493">
        <v>0</v>
      </c>
      <c r="J493">
        <v>449.75</v>
      </c>
      <c r="K493" t="s">
        <v>80</v>
      </c>
      <c r="L493" t="s">
        <v>30</v>
      </c>
      <c r="M493" t="b">
        <v>1</v>
      </c>
    </row>
    <row r="494" spans="1:13" x14ac:dyDescent="0.2">
      <c r="A494">
        <v>493</v>
      </c>
      <c r="B494" t="s">
        <v>56</v>
      </c>
      <c r="C494" s="2">
        <v>45562</v>
      </c>
      <c r="D494" t="s">
        <v>57</v>
      </c>
      <c r="E494" t="s">
        <v>48</v>
      </c>
      <c r="F494" t="s">
        <v>21</v>
      </c>
      <c r="G494" t="s">
        <v>22</v>
      </c>
      <c r="H494">
        <v>4</v>
      </c>
      <c r="I494">
        <v>0</v>
      </c>
      <c r="J494">
        <v>340</v>
      </c>
      <c r="K494" t="s">
        <v>29</v>
      </c>
      <c r="L494" t="s">
        <v>23</v>
      </c>
      <c r="M494">
        <v>1</v>
      </c>
    </row>
    <row r="495" spans="1:13" x14ac:dyDescent="0.2">
      <c r="A495">
        <v>494</v>
      </c>
      <c r="B495" t="s">
        <v>81</v>
      </c>
      <c r="C495" s="1">
        <v>45473</v>
      </c>
      <c r="D495" t="s">
        <v>82</v>
      </c>
      <c r="E495" t="s">
        <v>15</v>
      </c>
      <c r="F495" t="s">
        <v>34</v>
      </c>
      <c r="G495" t="s">
        <v>35</v>
      </c>
      <c r="H495">
        <v>5</v>
      </c>
      <c r="I495">
        <v>0.1</v>
      </c>
      <c r="J495">
        <v>359.78</v>
      </c>
      <c r="K495" t="s">
        <v>18</v>
      </c>
      <c r="L495" t="s">
        <v>23</v>
      </c>
      <c r="M495" t="s">
        <v>73</v>
      </c>
    </row>
    <row r="496" spans="1:13" x14ac:dyDescent="0.2">
      <c r="A496">
        <v>495</v>
      </c>
      <c r="B496" t="s">
        <v>71</v>
      </c>
      <c r="C496" s="1">
        <v>45194</v>
      </c>
      <c r="D496" t="s">
        <v>72</v>
      </c>
      <c r="E496" t="s">
        <v>33</v>
      </c>
      <c r="F496" t="s">
        <v>34</v>
      </c>
      <c r="G496" t="s">
        <v>35</v>
      </c>
      <c r="H496">
        <v>5</v>
      </c>
      <c r="I496">
        <v>0.15</v>
      </c>
      <c r="J496">
        <v>254.79</v>
      </c>
      <c r="K496" t="s">
        <v>36</v>
      </c>
      <c r="M496" t="s">
        <v>73</v>
      </c>
    </row>
    <row r="497" spans="1:13" x14ac:dyDescent="0.2">
      <c r="A497">
        <v>496</v>
      </c>
      <c r="B497" t="s">
        <v>71</v>
      </c>
      <c r="C497" s="2">
        <v>45104</v>
      </c>
      <c r="D497" t="s">
        <v>72</v>
      </c>
      <c r="E497" t="s">
        <v>33</v>
      </c>
      <c r="F497" t="s">
        <v>26</v>
      </c>
      <c r="G497" t="s">
        <v>22</v>
      </c>
      <c r="H497">
        <v>4</v>
      </c>
      <c r="I497">
        <v>0</v>
      </c>
      <c r="J497">
        <v>239.8</v>
      </c>
      <c r="K497" t="s">
        <v>36</v>
      </c>
      <c r="L497" t="s">
        <v>23</v>
      </c>
      <c r="M497" t="s">
        <v>73</v>
      </c>
    </row>
    <row r="498" spans="1:13" x14ac:dyDescent="0.2">
      <c r="A498">
        <v>497</v>
      </c>
      <c r="B498" t="s">
        <v>46</v>
      </c>
      <c r="C498" s="1">
        <v>45108</v>
      </c>
      <c r="D498" t="s">
        <v>25</v>
      </c>
      <c r="E498" t="s">
        <v>25</v>
      </c>
      <c r="F498" t="s">
        <v>44</v>
      </c>
      <c r="H498">
        <v>3</v>
      </c>
      <c r="I498">
        <v>0.2</v>
      </c>
      <c r="J498">
        <v>119.88</v>
      </c>
      <c r="K498" t="s">
        <v>29</v>
      </c>
      <c r="L498" t="s">
        <v>49</v>
      </c>
      <c r="M498" t="s">
        <v>25</v>
      </c>
    </row>
    <row r="499" spans="1:13" x14ac:dyDescent="0.2">
      <c r="A499">
        <v>498</v>
      </c>
      <c r="B499" t="s">
        <v>37</v>
      </c>
      <c r="C499" s="2">
        <v>45432</v>
      </c>
      <c r="D499" t="s">
        <v>38</v>
      </c>
      <c r="E499" t="s">
        <v>39</v>
      </c>
      <c r="G499" t="s">
        <v>25</v>
      </c>
      <c r="H499">
        <v>1</v>
      </c>
      <c r="I499">
        <v>0.1</v>
      </c>
      <c r="J499">
        <v>58.46</v>
      </c>
      <c r="K499" t="s">
        <v>18</v>
      </c>
      <c r="L499" t="s">
        <v>63</v>
      </c>
      <c r="M499">
        <v>1</v>
      </c>
    </row>
    <row r="500" spans="1:13" x14ac:dyDescent="0.2">
      <c r="A500">
        <v>499</v>
      </c>
      <c r="B500" t="s">
        <v>81</v>
      </c>
      <c r="C500" s="1">
        <v>45125</v>
      </c>
      <c r="D500" t="s">
        <v>82</v>
      </c>
      <c r="E500" t="s">
        <v>15</v>
      </c>
      <c r="F500" t="s">
        <v>53</v>
      </c>
      <c r="G500" t="s">
        <v>54</v>
      </c>
      <c r="H500">
        <v>5</v>
      </c>
      <c r="I500">
        <v>0.25</v>
      </c>
      <c r="J500">
        <v>299.81</v>
      </c>
      <c r="K500" t="s">
        <v>80</v>
      </c>
      <c r="L500" t="s">
        <v>45</v>
      </c>
      <c r="M500" t="s">
        <v>73</v>
      </c>
    </row>
    <row r="501" spans="1:13" x14ac:dyDescent="0.2">
      <c r="A501">
        <v>500</v>
      </c>
      <c r="B501" t="s">
        <v>78</v>
      </c>
      <c r="C501" s="1">
        <v>45621</v>
      </c>
      <c r="D501" t="s">
        <v>79</v>
      </c>
      <c r="E501" t="s">
        <v>48</v>
      </c>
      <c r="F501" t="s">
        <v>34</v>
      </c>
      <c r="G501" t="s">
        <v>35</v>
      </c>
      <c r="H501">
        <v>3</v>
      </c>
      <c r="I501" t="s">
        <v>60</v>
      </c>
      <c r="J501">
        <v>119.85</v>
      </c>
      <c r="K501" t="s">
        <v>36</v>
      </c>
      <c r="M501">
        <v>1</v>
      </c>
    </row>
    <row r="502" spans="1:13" x14ac:dyDescent="0.2">
      <c r="A502">
        <v>501</v>
      </c>
      <c r="B502" t="s">
        <v>85</v>
      </c>
      <c r="C502" s="1">
        <v>45297</v>
      </c>
      <c r="D502" t="s">
        <v>86</v>
      </c>
      <c r="E502" t="s">
        <v>76</v>
      </c>
      <c r="F502" t="s">
        <v>21</v>
      </c>
      <c r="G502" t="s">
        <v>22</v>
      </c>
      <c r="H502">
        <v>3</v>
      </c>
      <c r="I502">
        <v>0</v>
      </c>
      <c r="J502">
        <v>269.85000000000002</v>
      </c>
      <c r="K502" t="s">
        <v>29</v>
      </c>
      <c r="M502" t="s">
        <v>73</v>
      </c>
    </row>
    <row r="503" spans="1:13" x14ac:dyDescent="0.2">
      <c r="A503">
        <v>502</v>
      </c>
      <c r="B503" t="s">
        <v>81</v>
      </c>
      <c r="C503" s="2">
        <v>45182</v>
      </c>
      <c r="D503" t="s">
        <v>82</v>
      </c>
      <c r="E503" t="s">
        <v>15</v>
      </c>
      <c r="F503" t="s">
        <v>16</v>
      </c>
      <c r="G503" t="s">
        <v>17</v>
      </c>
      <c r="H503">
        <v>1</v>
      </c>
      <c r="I503">
        <v>0.05</v>
      </c>
      <c r="J503">
        <v>75.95</v>
      </c>
      <c r="K503" t="s">
        <v>27</v>
      </c>
      <c r="L503" t="s">
        <v>28</v>
      </c>
      <c r="M503" t="s">
        <v>73</v>
      </c>
    </row>
    <row r="504" spans="1:13" x14ac:dyDescent="0.2">
      <c r="A504">
        <v>503</v>
      </c>
      <c r="B504" t="s">
        <v>64</v>
      </c>
      <c r="C504" s="2">
        <v>45275</v>
      </c>
      <c r="D504" t="s">
        <v>65</v>
      </c>
      <c r="E504" t="s">
        <v>33</v>
      </c>
      <c r="F504" t="s">
        <v>40</v>
      </c>
      <c r="G504" t="s">
        <v>17</v>
      </c>
      <c r="H504">
        <v>2</v>
      </c>
      <c r="I504">
        <v>0</v>
      </c>
      <c r="J504">
        <v>149.9</v>
      </c>
      <c r="K504" t="s">
        <v>18</v>
      </c>
      <c r="L504" t="s">
        <v>41</v>
      </c>
      <c r="M504">
        <v>0</v>
      </c>
    </row>
    <row r="505" spans="1:13" x14ac:dyDescent="0.2">
      <c r="A505">
        <v>504</v>
      </c>
      <c r="B505" t="s">
        <v>42</v>
      </c>
      <c r="C505" s="2">
        <v>45637</v>
      </c>
      <c r="D505" t="s">
        <v>43</v>
      </c>
      <c r="E505" t="s">
        <v>15</v>
      </c>
      <c r="F505" t="s">
        <v>16</v>
      </c>
      <c r="G505" t="s">
        <v>17</v>
      </c>
      <c r="H505">
        <v>1</v>
      </c>
      <c r="I505">
        <v>0</v>
      </c>
      <c r="J505">
        <v>129</v>
      </c>
      <c r="K505" t="s">
        <v>52</v>
      </c>
      <c r="L505" t="s">
        <v>28</v>
      </c>
      <c r="M505" t="b">
        <v>1</v>
      </c>
    </row>
    <row r="506" spans="1:13" x14ac:dyDescent="0.2">
      <c r="A506">
        <v>505</v>
      </c>
      <c r="B506" t="s">
        <v>56</v>
      </c>
      <c r="C506" s="1">
        <v>45025</v>
      </c>
      <c r="D506" t="s">
        <v>57</v>
      </c>
      <c r="E506" t="s">
        <v>48</v>
      </c>
      <c r="F506" t="s">
        <v>26</v>
      </c>
      <c r="G506" t="s">
        <v>22</v>
      </c>
      <c r="H506">
        <v>1</v>
      </c>
      <c r="I506">
        <v>0.1</v>
      </c>
      <c r="J506">
        <v>76.5</v>
      </c>
      <c r="K506" t="s">
        <v>29</v>
      </c>
      <c r="L506" t="s">
        <v>28</v>
      </c>
      <c r="M506">
        <v>1</v>
      </c>
    </row>
    <row r="507" spans="1:13" x14ac:dyDescent="0.2">
      <c r="A507">
        <v>506</v>
      </c>
      <c r="B507" t="s">
        <v>88</v>
      </c>
      <c r="C507" s="2">
        <v>45124</v>
      </c>
      <c r="D507" t="s">
        <v>89</v>
      </c>
      <c r="E507" t="s">
        <v>33</v>
      </c>
      <c r="F507" t="s">
        <v>16</v>
      </c>
      <c r="G507" t="s">
        <v>17</v>
      </c>
      <c r="H507">
        <v>1</v>
      </c>
      <c r="I507">
        <v>0.25</v>
      </c>
      <c r="J507">
        <v>148.5</v>
      </c>
      <c r="K507" t="s">
        <v>80</v>
      </c>
      <c r="L507" t="s">
        <v>49</v>
      </c>
      <c r="M507" t="b">
        <v>0</v>
      </c>
    </row>
    <row r="508" spans="1:13" x14ac:dyDescent="0.2">
      <c r="A508">
        <v>507</v>
      </c>
      <c r="B508" t="s">
        <v>83</v>
      </c>
      <c r="C508" s="2">
        <v>45067</v>
      </c>
      <c r="D508" t="s">
        <v>84</v>
      </c>
      <c r="E508" t="s">
        <v>48</v>
      </c>
      <c r="F508" t="s">
        <v>21</v>
      </c>
      <c r="G508" t="s">
        <v>22</v>
      </c>
      <c r="H508">
        <v>5</v>
      </c>
      <c r="I508">
        <v>0.25</v>
      </c>
      <c r="J508">
        <v>187.31</v>
      </c>
      <c r="K508" t="s">
        <v>18</v>
      </c>
      <c r="L508" t="s">
        <v>45</v>
      </c>
      <c r="M508">
        <v>0</v>
      </c>
    </row>
    <row r="509" spans="1:13" x14ac:dyDescent="0.2">
      <c r="A509">
        <v>508</v>
      </c>
      <c r="B509" t="s">
        <v>83</v>
      </c>
      <c r="C509" s="1">
        <v>44935</v>
      </c>
      <c r="D509" t="s">
        <v>84</v>
      </c>
      <c r="E509" t="s">
        <v>48</v>
      </c>
      <c r="F509" t="s">
        <v>66</v>
      </c>
      <c r="G509" t="s">
        <v>67</v>
      </c>
      <c r="H509">
        <v>3</v>
      </c>
      <c r="I509">
        <v>0.15</v>
      </c>
      <c r="J509">
        <v>127.37</v>
      </c>
      <c r="K509" t="s">
        <v>52</v>
      </c>
      <c r="L509" t="s">
        <v>30</v>
      </c>
      <c r="M509">
        <v>0</v>
      </c>
    </row>
    <row r="510" spans="1:13" x14ac:dyDescent="0.2">
      <c r="A510">
        <v>509</v>
      </c>
      <c r="B510" t="s">
        <v>37</v>
      </c>
      <c r="C510" s="1">
        <v>45414</v>
      </c>
      <c r="D510" t="s">
        <v>38</v>
      </c>
      <c r="E510" t="s">
        <v>39</v>
      </c>
      <c r="F510" t="s">
        <v>34</v>
      </c>
      <c r="G510" t="s">
        <v>35</v>
      </c>
      <c r="H510">
        <v>1</v>
      </c>
      <c r="I510">
        <v>0.15</v>
      </c>
      <c r="J510">
        <v>55.21</v>
      </c>
      <c r="K510" t="s">
        <v>36</v>
      </c>
      <c r="L510" t="s">
        <v>63</v>
      </c>
      <c r="M510">
        <v>1</v>
      </c>
    </row>
    <row r="511" spans="1:13" x14ac:dyDescent="0.2">
      <c r="A511">
        <v>510</v>
      </c>
      <c r="B511" t="s">
        <v>24</v>
      </c>
      <c r="C511" s="2">
        <v>45581</v>
      </c>
      <c r="D511" t="s">
        <v>87</v>
      </c>
      <c r="E511" t="s">
        <v>39</v>
      </c>
      <c r="F511" t="s">
        <v>16</v>
      </c>
      <c r="G511" t="s">
        <v>17</v>
      </c>
      <c r="H511">
        <v>1</v>
      </c>
      <c r="I511">
        <v>0.25</v>
      </c>
      <c r="J511">
        <v>33.71</v>
      </c>
      <c r="K511" t="s">
        <v>27</v>
      </c>
      <c r="L511" t="s">
        <v>63</v>
      </c>
      <c r="M511" t="b">
        <v>1</v>
      </c>
    </row>
    <row r="512" spans="1:13" x14ac:dyDescent="0.2">
      <c r="A512">
        <v>511</v>
      </c>
      <c r="B512" t="s">
        <v>31</v>
      </c>
      <c r="C512" s="2">
        <v>45293</v>
      </c>
      <c r="D512" t="s">
        <v>32</v>
      </c>
      <c r="E512" t="s">
        <v>33</v>
      </c>
      <c r="F512" t="s">
        <v>21</v>
      </c>
      <c r="G512" t="s">
        <v>22</v>
      </c>
      <c r="H512">
        <v>1</v>
      </c>
      <c r="I512">
        <v>0.15</v>
      </c>
      <c r="J512">
        <v>67.959999999999994</v>
      </c>
      <c r="K512" t="s">
        <v>27</v>
      </c>
      <c r="L512" t="s">
        <v>23</v>
      </c>
      <c r="M512" t="b">
        <v>0</v>
      </c>
    </row>
    <row r="513" spans="1:13" x14ac:dyDescent="0.2">
      <c r="A513">
        <v>512</v>
      </c>
      <c r="B513" t="s">
        <v>37</v>
      </c>
      <c r="C513" s="2">
        <v>45105</v>
      </c>
      <c r="D513" t="s">
        <v>38</v>
      </c>
      <c r="E513" t="s">
        <v>39</v>
      </c>
      <c r="F513" t="s">
        <v>34</v>
      </c>
      <c r="G513" t="s">
        <v>35</v>
      </c>
      <c r="H513">
        <v>3</v>
      </c>
      <c r="I513">
        <v>0</v>
      </c>
      <c r="J513">
        <v>194.85</v>
      </c>
      <c r="K513" t="s">
        <v>52</v>
      </c>
      <c r="L513" t="s">
        <v>63</v>
      </c>
      <c r="M513">
        <v>1</v>
      </c>
    </row>
    <row r="514" spans="1:13" x14ac:dyDescent="0.2">
      <c r="A514">
        <v>513</v>
      </c>
      <c r="B514" t="s">
        <v>88</v>
      </c>
      <c r="C514" s="2">
        <v>45305</v>
      </c>
      <c r="D514" t="s">
        <v>89</v>
      </c>
      <c r="E514" t="s">
        <v>33</v>
      </c>
      <c r="F514" t="s">
        <v>16</v>
      </c>
      <c r="G514" t="s">
        <v>17</v>
      </c>
      <c r="H514">
        <v>2</v>
      </c>
      <c r="I514">
        <v>0.1</v>
      </c>
      <c r="J514">
        <v>356.4</v>
      </c>
      <c r="K514" t="s">
        <v>18</v>
      </c>
      <c r="M514" t="b">
        <v>0</v>
      </c>
    </row>
    <row r="515" spans="1:13" x14ac:dyDescent="0.2">
      <c r="A515">
        <v>514</v>
      </c>
      <c r="B515" t="s">
        <v>37</v>
      </c>
      <c r="C515" s="2">
        <v>45540</v>
      </c>
      <c r="D515" t="s">
        <v>38</v>
      </c>
      <c r="E515" t="s">
        <v>39</v>
      </c>
      <c r="F515" t="s">
        <v>66</v>
      </c>
      <c r="G515" t="s">
        <v>67</v>
      </c>
      <c r="H515">
        <v>2</v>
      </c>
      <c r="I515">
        <v>0.2</v>
      </c>
      <c r="J515">
        <v>103.92</v>
      </c>
      <c r="K515" t="s">
        <v>52</v>
      </c>
      <c r="L515" t="s">
        <v>49</v>
      </c>
      <c r="M515">
        <v>1</v>
      </c>
    </row>
    <row r="516" spans="1:13" x14ac:dyDescent="0.2">
      <c r="A516">
        <v>515</v>
      </c>
      <c r="B516" t="s">
        <v>64</v>
      </c>
      <c r="C516" s="2">
        <v>45010</v>
      </c>
      <c r="D516" t="s">
        <v>65</v>
      </c>
      <c r="E516" t="s">
        <v>33</v>
      </c>
      <c r="F516" t="s">
        <v>26</v>
      </c>
      <c r="G516" t="s">
        <v>22</v>
      </c>
      <c r="H516">
        <v>2</v>
      </c>
      <c r="I516">
        <v>0.25</v>
      </c>
      <c r="J516">
        <v>112.43</v>
      </c>
      <c r="K516" t="s">
        <v>36</v>
      </c>
      <c r="L516" t="s">
        <v>63</v>
      </c>
      <c r="M516">
        <v>0</v>
      </c>
    </row>
    <row r="517" spans="1:13" x14ac:dyDescent="0.2">
      <c r="A517">
        <v>516</v>
      </c>
      <c r="B517" t="s">
        <v>88</v>
      </c>
      <c r="C517" s="1">
        <v>45201</v>
      </c>
      <c r="D517" t="s">
        <v>89</v>
      </c>
      <c r="E517" t="s">
        <v>33</v>
      </c>
      <c r="F517" t="s">
        <v>66</v>
      </c>
      <c r="G517" t="s">
        <v>67</v>
      </c>
      <c r="H517">
        <v>3</v>
      </c>
      <c r="J517">
        <v>594</v>
      </c>
      <c r="K517" t="s">
        <v>29</v>
      </c>
      <c r="L517" t="s">
        <v>41</v>
      </c>
      <c r="M517" t="b">
        <v>0</v>
      </c>
    </row>
    <row r="518" spans="1:13" x14ac:dyDescent="0.2">
      <c r="A518">
        <v>517</v>
      </c>
      <c r="B518" t="s">
        <v>74</v>
      </c>
      <c r="C518" s="2">
        <v>45490</v>
      </c>
      <c r="D518" t="s">
        <v>75</v>
      </c>
      <c r="E518" t="s">
        <v>76</v>
      </c>
      <c r="F518" t="s">
        <v>21</v>
      </c>
      <c r="G518" t="s">
        <v>22</v>
      </c>
      <c r="H518">
        <v>5</v>
      </c>
      <c r="I518">
        <v>0</v>
      </c>
      <c r="J518">
        <v>224.75</v>
      </c>
      <c r="K518" t="s">
        <v>52</v>
      </c>
      <c r="L518" t="s">
        <v>49</v>
      </c>
      <c r="M518" t="s">
        <v>77</v>
      </c>
    </row>
    <row r="519" spans="1:13" x14ac:dyDescent="0.2">
      <c r="A519">
        <v>518</v>
      </c>
      <c r="B519" t="s">
        <v>24</v>
      </c>
      <c r="C519" s="2">
        <v>45436</v>
      </c>
      <c r="D519" t="s">
        <v>25</v>
      </c>
      <c r="E519" t="s">
        <v>25</v>
      </c>
      <c r="F519" t="s">
        <v>21</v>
      </c>
      <c r="G519" t="s">
        <v>22</v>
      </c>
      <c r="H519">
        <v>4</v>
      </c>
      <c r="I519">
        <v>0.2</v>
      </c>
      <c r="J519">
        <v>143.84</v>
      </c>
      <c r="K519" t="s">
        <v>52</v>
      </c>
      <c r="L519" t="s">
        <v>28</v>
      </c>
      <c r="M519" t="s">
        <v>25</v>
      </c>
    </row>
    <row r="520" spans="1:13" x14ac:dyDescent="0.2">
      <c r="A520">
        <v>519</v>
      </c>
      <c r="B520" t="s">
        <v>64</v>
      </c>
      <c r="C520" s="2">
        <v>45295</v>
      </c>
      <c r="D520" t="s">
        <v>65</v>
      </c>
      <c r="E520" t="s">
        <v>33</v>
      </c>
      <c r="F520" t="s">
        <v>16</v>
      </c>
      <c r="G520" t="s">
        <v>17</v>
      </c>
      <c r="H520">
        <v>2</v>
      </c>
      <c r="I520">
        <v>0</v>
      </c>
      <c r="J520">
        <v>149.9</v>
      </c>
      <c r="K520" t="s">
        <v>27</v>
      </c>
      <c r="L520" t="s">
        <v>55</v>
      </c>
      <c r="M520">
        <v>0</v>
      </c>
    </row>
    <row r="521" spans="1:13" x14ac:dyDescent="0.2">
      <c r="A521">
        <v>520</v>
      </c>
      <c r="B521" t="s">
        <v>56</v>
      </c>
      <c r="C521" s="2">
        <v>45281</v>
      </c>
      <c r="D521" t="s">
        <v>57</v>
      </c>
      <c r="E521" t="s">
        <v>48</v>
      </c>
      <c r="F521" t="s">
        <v>66</v>
      </c>
      <c r="G521" t="s">
        <v>67</v>
      </c>
      <c r="H521">
        <v>3</v>
      </c>
      <c r="J521">
        <v>255</v>
      </c>
      <c r="K521" t="s">
        <v>52</v>
      </c>
      <c r="L521" t="s">
        <v>30</v>
      </c>
      <c r="M521">
        <v>1</v>
      </c>
    </row>
    <row r="522" spans="1:13" x14ac:dyDescent="0.2">
      <c r="A522">
        <v>521</v>
      </c>
      <c r="B522" t="s">
        <v>78</v>
      </c>
      <c r="C522" s="2">
        <v>45014</v>
      </c>
      <c r="D522" t="s">
        <v>79</v>
      </c>
      <c r="E522" t="s">
        <v>48</v>
      </c>
      <c r="F522" t="s">
        <v>34</v>
      </c>
      <c r="G522" t="s">
        <v>35</v>
      </c>
      <c r="H522">
        <v>5</v>
      </c>
      <c r="I522">
        <v>0.25</v>
      </c>
      <c r="J522">
        <v>149.81</v>
      </c>
      <c r="K522" t="s">
        <v>52</v>
      </c>
      <c r="M522">
        <v>1</v>
      </c>
    </row>
    <row r="523" spans="1:13" x14ac:dyDescent="0.2">
      <c r="A523">
        <v>522</v>
      </c>
      <c r="B523" t="s">
        <v>50</v>
      </c>
      <c r="C523" s="2">
        <v>45157</v>
      </c>
      <c r="D523" t="s">
        <v>51</v>
      </c>
      <c r="E523" t="s">
        <v>15</v>
      </c>
      <c r="F523" t="s">
        <v>66</v>
      </c>
      <c r="G523" t="s">
        <v>67</v>
      </c>
      <c r="H523">
        <v>1</v>
      </c>
      <c r="I523">
        <v>0.25</v>
      </c>
      <c r="J523">
        <v>52.46</v>
      </c>
      <c r="K523" t="s">
        <v>52</v>
      </c>
      <c r="L523" t="s">
        <v>49</v>
      </c>
      <c r="M523">
        <v>0</v>
      </c>
    </row>
    <row r="524" spans="1:13" x14ac:dyDescent="0.2">
      <c r="A524">
        <v>523</v>
      </c>
      <c r="B524" t="s">
        <v>81</v>
      </c>
      <c r="C524" s="2">
        <v>45327</v>
      </c>
      <c r="D524" t="s">
        <v>82</v>
      </c>
      <c r="E524" t="s">
        <v>15</v>
      </c>
      <c r="F524" t="s">
        <v>40</v>
      </c>
      <c r="G524" t="s">
        <v>17</v>
      </c>
      <c r="H524">
        <v>5</v>
      </c>
      <c r="I524">
        <v>0.2</v>
      </c>
      <c r="J524">
        <v>319.8</v>
      </c>
      <c r="K524" t="s">
        <v>18</v>
      </c>
      <c r="L524" t="s">
        <v>28</v>
      </c>
      <c r="M524" t="s">
        <v>73</v>
      </c>
    </row>
    <row r="525" spans="1:13" x14ac:dyDescent="0.2">
      <c r="A525">
        <v>524</v>
      </c>
      <c r="B525" t="s">
        <v>58</v>
      </c>
      <c r="C525" s="2">
        <v>45130</v>
      </c>
      <c r="D525" t="s">
        <v>59</v>
      </c>
      <c r="E525" t="s">
        <v>15</v>
      </c>
      <c r="F525" t="s">
        <v>66</v>
      </c>
      <c r="G525" t="s">
        <v>67</v>
      </c>
      <c r="H525">
        <v>5</v>
      </c>
      <c r="I525">
        <v>0.25</v>
      </c>
      <c r="J525">
        <v>224.81</v>
      </c>
      <c r="K525" t="s">
        <v>18</v>
      </c>
      <c r="L525" t="s">
        <v>23</v>
      </c>
      <c r="M525">
        <v>1</v>
      </c>
    </row>
    <row r="526" spans="1:13" x14ac:dyDescent="0.2">
      <c r="A526">
        <v>525</v>
      </c>
      <c r="B526" t="s">
        <v>74</v>
      </c>
      <c r="C526" s="2">
        <v>45355</v>
      </c>
      <c r="D526" t="s">
        <v>75</v>
      </c>
      <c r="E526" t="s">
        <v>76</v>
      </c>
      <c r="F526" t="s">
        <v>21</v>
      </c>
      <c r="G526" t="s">
        <v>22</v>
      </c>
      <c r="H526">
        <v>2</v>
      </c>
      <c r="I526">
        <v>0</v>
      </c>
      <c r="J526">
        <v>89.9</v>
      </c>
      <c r="K526" t="s">
        <v>80</v>
      </c>
      <c r="L526" t="s">
        <v>45</v>
      </c>
      <c r="M526" t="s">
        <v>77</v>
      </c>
    </row>
    <row r="527" spans="1:13" x14ac:dyDescent="0.2">
      <c r="A527">
        <v>526</v>
      </c>
      <c r="B527" t="s">
        <v>71</v>
      </c>
      <c r="C527" s="2">
        <v>45628</v>
      </c>
      <c r="D527" t="s">
        <v>72</v>
      </c>
      <c r="E527" t="s">
        <v>33</v>
      </c>
      <c r="F527" t="s">
        <v>66</v>
      </c>
      <c r="G527" t="s">
        <v>67</v>
      </c>
      <c r="H527">
        <v>5</v>
      </c>
      <c r="I527">
        <v>0.1</v>
      </c>
      <c r="J527">
        <v>269.77999999999997</v>
      </c>
      <c r="K527" t="s">
        <v>80</v>
      </c>
      <c r="L527" t="s">
        <v>63</v>
      </c>
      <c r="M527" t="s">
        <v>73</v>
      </c>
    </row>
    <row r="528" spans="1:13" x14ac:dyDescent="0.2">
      <c r="A528">
        <v>527</v>
      </c>
      <c r="B528" t="s">
        <v>24</v>
      </c>
      <c r="C528" s="2">
        <v>45588</v>
      </c>
      <c r="D528" t="s">
        <v>87</v>
      </c>
      <c r="E528" t="s">
        <v>39</v>
      </c>
      <c r="F528" t="s">
        <v>44</v>
      </c>
      <c r="H528">
        <v>4</v>
      </c>
      <c r="I528">
        <v>0</v>
      </c>
      <c r="J528">
        <v>179.8</v>
      </c>
      <c r="K528" t="s">
        <v>52</v>
      </c>
      <c r="L528" t="s">
        <v>55</v>
      </c>
      <c r="M528" t="b">
        <v>1</v>
      </c>
    </row>
    <row r="529" spans="1:13" x14ac:dyDescent="0.2">
      <c r="A529">
        <v>528</v>
      </c>
      <c r="B529" t="s">
        <v>24</v>
      </c>
      <c r="C529" s="2">
        <v>45642</v>
      </c>
      <c r="D529" t="s">
        <v>87</v>
      </c>
      <c r="E529" t="s">
        <v>39</v>
      </c>
      <c r="F529" t="s">
        <v>21</v>
      </c>
      <c r="G529" t="s">
        <v>22</v>
      </c>
      <c r="H529">
        <v>4</v>
      </c>
      <c r="I529">
        <v>0</v>
      </c>
      <c r="J529">
        <v>179.8</v>
      </c>
      <c r="K529" t="s">
        <v>29</v>
      </c>
      <c r="L529" t="s">
        <v>55</v>
      </c>
      <c r="M529" t="b">
        <v>1</v>
      </c>
    </row>
    <row r="530" spans="1:13" x14ac:dyDescent="0.2">
      <c r="A530">
        <v>529</v>
      </c>
      <c r="B530" t="s">
        <v>83</v>
      </c>
      <c r="C530" s="1">
        <v>45034</v>
      </c>
      <c r="D530" t="s">
        <v>84</v>
      </c>
      <c r="E530" t="s">
        <v>48</v>
      </c>
      <c r="F530" t="s">
        <v>34</v>
      </c>
      <c r="G530" t="s">
        <v>35</v>
      </c>
      <c r="H530">
        <v>4</v>
      </c>
      <c r="I530">
        <v>0</v>
      </c>
      <c r="J530">
        <v>199.8</v>
      </c>
      <c r="K530" t="s">
        <v>27</v>
      </c>
      <c r="L530" t="s">
        <v>49</v>
      </c>
      <c r="M530">
        <v>0</v>
      </c>
    </row>
    <row r="531" spans="1:13" x14ac:dyDescent="0.2">
      <c r="A531">
        <v>530</v>
      </c>
      <c r="B531" t="s">
        <v>74</v>
      </c>
      <c r="C531" s="2">
        <v>44965</v>
      </c>
      <c r="D531" t="s">
        <v>75</v>
      </c>
      <c r="E531" t="s">
        <v>76</v>
      </c>
      <c r="F531" t="s">
        <v>44</v>
      </c>
      <c r="H531">
        <v>3</v>
      </c>
      <c r="I531">
        <v>0.2</v>
      </c>
      <c r="J531">
        <v>107.88</v>
      </c>
      <c r="K531" t="s">
        <v>29</v>
      </c>
      <c r="L531" t="s">
        <v>63</v>
      </c>
      <c r="M531" t="s">
        <v>77</v>
      </c>
    </row>
    <row r="532" spans="1:13" x14ac:dyDescent="0.2">
      <c r="A532">
        <v>531</v>
      </c>
      <c r="B532" t="s">
        <v>61</v>
      </c>
      <c r="C532" s="1">
        <v>44945</v>
      </c>
      <c r="D532" t="s">
        <v>62</v>
      </c>
      <c r="E532" t="s">
        <v>33</v>
      </c>
      <c r="F532" t="s">
        <v>44</v>
      </c>
      <c r="H532">
        <v>4</v>
      </c>
      <c r="I532">
        <v>0.1</v>
      </c>
      <c r="J532">
        <v>125.96</v>
      </c>
      <c r="K532" t="s">
        <v>18</v>
      </c>
      <c r="L532" t="s">
        <v>45</v>
      </c>
      <c r="M532">
        <v>0</v>
      </c>
    </row>
    <row r="533" spans="1:13" x14ac:dyDescent="0.2">
      <c r="A533">
        <v>532</v>
      </c>
      <c r="B533" t="s">
        <v>31</v>
      </c>
      <c r="C533" s="2">
        <v>45640</v>
      </c>
      <c r="D533" t="s">
        <v>32</v>
      </c>
      <c r="E533" t="s">
        <v>33</v>
      </c>
      <c r="F533" t="s">
        <v>40</v>
      </c>
      <c r="G533" t="s">
        <v>17</v>
      </c>
      <c r="H533">
        <v>2</v>
      </c>
      <c r="I533">
        <v>0</v>
      </c>
      <c r="J533">
        <v>159.9</v>
      </c>
      <c r="K533" t="s">
        <v>29</v>
      </c>
      <c r="L533" t="s">
        <v>63</v>
      </c>
      <c r="M533" t="b">
        <v>0</v>
      </c>
    </row>
    <row r="534" spans="1:13" x14ac:dyDescent="0.2">
      <c r="A534">
        <v>533</v>
      </c>
      <c r="B534" t="s">
        <v>58</v>
      </c>
      <c r="C534" s="2">
        <v>45171</v>
      </c>
      <c r="D534" t="s">
        <v>59</v>
      </c>
      <c r="E534" t="s">
        <v>15</v>
      </c>
      <c r="F534" t="s">
        <v>26</v>
      </c>
      <c r="G534" t="s">
        <v>22</v>
      </c>
      <c r="H534">
        <v>4</v>
      </c>
      <c r="I534">
        <v>0.05</v>
      </c>
      <c r="J534">
        <v>227.81</v>
      </c>
      <c r="K534" t="s">
        <v>52</v>
      </c>
      <c r="L534" t="s">
        <v>63</v>
      </c>
      <c r="M534">
        <v>1</v>
      </c>
    </row>
    <row r="535" spans="1:13" x14ac:dyDescent="0.2">
      <c r="A535">
        <v>534</v>
      </c>
      <c r="B535" t="s">
        <v>31</v>
      </c>
      <c r="C535" s="1">
        <v>45257</v>
      </c>
      <c r="D535" t="s">
        <v>32</v>
      </c>
      <c r="E535" t="s">
        <v>33</v>
      </c>
      <c r="F535" t="s">
        <v>66</v>
      </c>
      <c r="G535" t="s">
        <v>67</v>
      </c>
      <c r="H535">
        <v>1</v>
      </c>
      <c r="I535">
        <v>0.2</v>
      </c>
      <c r="J535">
        <v>63.96</v>
      </c>
      <c r="K535" t="s">
        <v>52</v>
      </c>
      <c r="L535" t="s">
        <v>55</v>
      </c>
      <c r="M535" t="b">
        <v>0</v>
      </c>
    </row>
    <row r="536" spans="1:13" x14ac:dyDescent="0.2">
      <c r="A536">
        <v>535</v>
      </c>
      <c r="B536" t="s">
        <v>74</v>
      </c>
      <c r="C536" s="2">
        <v>45396</v>
      </c>
      <c r="D536" t="s">
        <v>75</v>
      </c>
      <c r="E536" t="s">
        <v>76</v>
      </c>
      <c r="F536" t="s">
        <v>26</v>
      </c>
      <c r="G536" t="s">
        <v>22</v>
      </c>
      <c r="H536">
        <v>3</v>
      </c>
      <c r="I536">
        <v>0</v>
      </c>
      <c r="J536">
        <v>134.85</v>
      </c>
      <c r="K536" t="s">
        <v>18</v>
      </c>
      <c r="L536" t="s">
        <v>28</v>
      </c>
      <c r="M536" t="s">
        <v>77</v>
      </c>
    </row>
    <row r="537" spans="1:13" x14ac:dyDescent="0.2">
      <c r="A537">
        <v>536</v>
      </c>
      <c r="B537" t="s">
        <v>56</v>
      </c>
      <c r="C537" s="2">
        <v>45541</v>
      </c>
      <c r="D537" t="s">
        <v>57</v>
      </c>
      <c r="E537" t="s">
        <v>48</v>
      </c>
      <c r="F537" t="s">
        <v>16</v>
      </c>
      <c r="G537" t="s">
        <v>17</v>
      </c>
      <c r="H537">
        <v>5</v>
      </c>
      <c r="I537">
        <v>0</v>
      </c>
      <c r="J537">
        <v>425</v>
      </c>
      <c r="K537" t="s">
        <v>27</v>
      </c>
      <c r="L537" t="s">
        <v>30</v>
      </c>
      <c r="M537">
        <v>1</v>
      </c>
    </row>
    <row r="538" spans="1:13" x14ac:dyDescent="0.2">
      <c r="A538">
        <v>537</v>
      </c>
      <c r="B538" t="s">
        <v>83</v>
      </c>
      <c r="C538" s="2">
        <v>45526</v>
      </c>
      <c r="D538" t="s">
        <v>84</v>
      </c>
      <c r="E538" t="s">
        <v>48</v>
      </c>
      <c r="F538" t="s">
        <v>40</v>
      </c>
      <c r="G538" t="s">
        <v>17</v>
      </c>
      <c r="H538">
        <v>1</v>
      </c>
      <c r="I538">
        <v>0.15</v>
      </c>
      <c r="J538">
        <v>42.46</v>
      </c>
      <c r="K538" t="s">
        <v>80</v>
      </c>
      <c r="L538" t="s">
        <v>23</v>
      </c>
      <c r="M538">
        <v>0</v>
      </c>
    </row>
    <row r="539" spans="1:13" x14ac:dyDescent="0.2">
      <c r="A539">
        <v>538</v>
      </c>
      <c r="B539" t="s">
        <v>19</v>
      </c>
      <c r="C539" s="2">
        <v>45067</v>
      </c>
      <c r="D539" t="s">
        <v>20</v>
      </c>
      <c r="E539" t="s">
        <v>15</v>
      </c>
      <c r="F539" t="s">
        <v>53</v>
      </c>
      <c r="G539" t="s">
        <v>54</v>
      </c>
      <c r="H539">
        <v>4</v>
      </c>
      <c r="I539">
        <v>0.05</v>
      </c>
      <c r="J539">
        <v>341.81</v>
      </c>
      <c r="K539" t="s">
        <v>27</v>
      </c>
      <c r="L539" t="s">
        <v>55</v>
      </c>
      <c r="M539" t="b">
        <v>1</v>
      </c>
    </row>
    <row r="540" spans="1:13" x14ac:dyDescent="0.2">
      <c r="A540">
        <v>539</v>
      </c>
      <c r="B540" t="s">
        <v>61</v>
      </c>
      <c r="C540" s="1">
        <v>45351</v>
      </c>
      <c r="D540" t="s">
        <v>62</v>
      </c>
      <c r="E540" t="s">
        <v>33</v>
      </c>
      <c r="F540" t="s">
        <v>40</v>
      </c>
      <c r="G540" t="s">
        <v>17</v>
      </c>
      <c r="H540">
        <v>3</v>
      </c>
      <c r="I540">
        <v>0.15</v>
      </c>
      <c r="J540">
        <v>89.22</v>
      </c>
      <c r="K540" t="s">
        <v>80</v>
      </c>
      <c r="M540">
        <v>0</v>
      </c>
    </row>
    <row r="541" spans="1:13" x14ac:dyDescent="0.2">
      <c r="A541">
        <v>540</v>
      </c>
      <c r="B541" t="s">
        <v>19</v>
      </c>
      <c r="C541" s="1">
        <v>45379</v>
      </c>
      <c r="D541" t="s">
        <v>20</v>
      </c>
      <c r="E541" t="s">
        <v>15</v>
      </c>
      <c r="G541" t="s">
        <v>25</v>
      </c>
      <c r="H541">
        <v>5</v>
      </c>
      <c r="I541">
        <v>0.2</v>
      </c>
      <c r="J541">
        <v>359.8</v>
      </c>
      <c r="K541" t="s">
        <v>18</v>
      </c>
      <c r="L541" t="s">
        <v>49</v>
      </c>
      <c r="M541" t="b">
        <v>1</v>
      </c>
    </row>
    <row r="542" spans="1:13" x14ac:dyDescent="0.2">
      <c r="A542">
        <v>541</v>
      </c>
      <c r="B542" t="s">
        <v>19</v>
      </c>
      <c r="C542" s="2">
        <v>45405</v>
      </c>
      <c r="D542" t="s">
        <v>20</v>
      </c>
      <c r="E542" t="s">
        <v>15</v>
      </c>
      <c r="F542" t="s">
        <v>34</v>
      </c>
      <c r="G542" t="s">
        <v>35</v>
      </c>
      <c r="H542">
        <v>5</v>
      </c>
      <c r="I542">
        <v>0</v>
      </c>
      <c r="J542">
        <v>449.75</v>
      </c>
      <c r="K542" t="s">
        <v>36</v>
      </c>
      <c r="L542" t="s">
        <v>28</v>
      </c>
      <c r="M542" t="b">
        <v>1</v>
      </c>
    </row>
    <row r="543" spans="1:13" x14ac:dyDescent="0.2">
      <c r="A543">
        <v>542</v>
      </c>
      <c r="B543" t="s">
        <v>42</v>
      </c>
      <c r="C543" s="2">
        <v>45409</v>
      </c>
      <c r="D543" t="s">
        <v>43</v>
      </c>
      <c r="E543" t="s">
        <v>15</v>
      </c>
      <c r="F543" t="s">
        <v>44</v>
      </c>
      <c r="H543">
        <v>3</v>
      </c>
      <c r="I543">
        <v>0.2</v>
      </c>
      <c r="J543">
        <v>309.60000000000002</v>
      </c>
      <c r="K543" t="s">
        <v>18</v>
      </c>
      <c r="L543" t="s">
        <v>28</v>
      </c>
      <c r="M543" t="b">
        <v>1</v>
      </c>
    </row>
    <row r="544" spans="1:13" x14ac:dyDescent="0.2">
      <c r="A544">
        <v>543</v>
      </c>
      <c r="B544" t="s">
        <v>50</v>
      </c>
      <c r="C544" s="2">
        <v>45316</v>
      </c>
      <c r="D544" t="s">
        <v>51</v>
      </c>
      <c r="E544" t="s">
        <v>15</v>
      </c>
      <c r="F544" t="s">
        <v>16</v>
      </c>
      <c r="G544" t="s">
        <v>17</v>
      </c>
      <c r="H544">
        <v>5</v>
      </c>
      <c r="I544">
        <v>0</v>
      </c>
      <c r="J544">
        <v>349.75</v>
      </c>
      <c r="K544" t="s">
        <v>52</v>
      </c>
      <c r="L544" t="s">
        <v>45</v>
      </c>
      <c r="M544">
        <v>0</v>
      </c>
    </row>
    <row r="545" spans="1:13" x14ac:dyDescent="0.2">
      <c r="A545">
        <v>544</v>
      </c>
      <c r="B545" t="s">
        <v>13</v>
      </c>
      <c r="C545" s="2">
        <v>45352</v>
      </c>
      <c r="D545" t="s">
        <v>14</v>
      </c>
      <c r="E545" t="s">
        <v>15</v>
      </c>
      <c r="F545" t="s">
        <v>26</v>
      </c>
      <c r="G545" t="s">
        <v>22</v>
      </c>
      <c r="H545">
        <v>5</v>
      </c>
      <c r="I545">
        <v>0.15</v>
      </c>
      <c r="J545">
        <v>84.96</v>
      </c>
      <c r="K545" t="s">
        <v>29</v>
      </c>
      <c r="M545">
        <v>0</v>
      </c>
    </row>
    <row r="546" spans="1:13" x14ac:dyDescent="0.2">
      <c r="A546">
        <v>545</v>
      </c>
      <c r="B546" t="s">
        <v>81</v>
      </c>
      <c r="C546" s="1">
        <v>45283</v>
      </c>
      <c r="D546" t="s">
        <v>82</v>
      </c>
      <c r="E546" t="s">
        <v>15</v>
      </c>
      <c r="F546" t="s">
        <v>21</v>
      </c>
      <c r="G546" t="s">
        <v>22</v>
      </c>
      <c r="H546">
        <v>2</v>
      </c>
      <c r="I546" t="s">
        <v>60</v>
      </c>
      <c r="J546">
        <v>159.9</v>
      </c>
      <c r="K546" t="s">
        <v>52</v>
      </c>
      <c r="L546" t="s">
        <v>28</v>
      </c>
      <c r="M546" t="s">
        <v>73</v>
      </c>
    </row>
    <row r="547" spans="1:13" x14ac:dyDescent="0.2">
      <c r="A547">
        <v>546</v>
      </c>
      <c r="B547" t="s">
        <v>61</v>
      </c>
      <c r="C547" s="1">
        <v>45180</v>
      </c>
      <c r="D547" t="s">
        <v>62</v>
      </c>
      <c r="E547" t="s">
        <v>33</v>
      </c>
      <c r="F547" t="s">
        <v>26</v>
      </c>
      <c r="G547" t="s">
        <v>22</v>
      </c>
      <c r="H547">
        <v>3</v>
      </c>
      <c r="I547">
        <v>0.25</v>
      </c>
      <c r="J547">
        <v>78.73</v>
      </c>
      <c r="K547" t="s">
        <v>52</v>
      </c>
      <c r="L547" t="s">
        <v>45</v>
      </c>
      <c r="M547">
        <v>0</v>
      </c>
    </row>
    <row r="548" spans="1:13" x14ac:dyDescent="0.2">
      <c r="A548">
        <v>547</v>
      </c>
      <c r="B548" t="s">
        <v>78</v>
      </c>
      <c r="C548" s="1">
        <v>45185</v>
      </c>
      <c r="D548" t="s">
        <v>79</v>
      </c>
      <c r="E548" t="s">
        <v>48</v>
      </c>
      <c r="F548" t="s">
        <v>16</v>
      </c>
      <c r="G548" t="s">
        <v>17</v>
      </c>
      <c r="H548">
        <v>2</v>
      </c>
      <c r="I548">
        <v>0.2</v>
      </c>
      <c r="J548">
        <v>63.92</v>
      </c>
      <c r="K548" t="s">
        <v>29</v>
      </c>
      <c r="L548" t="s">
        <v>45</v>
      </c>
      <c r="M548">
        <v>1</v>
      </c>
    </row>
    <row r="549" spans="1:13" x14ac:dyDescent="0.2">
      <c r="A549">
        <v>548</v>
      </c>
      <c r="B549" t="s">
        <v>46</v>
      </c>
      <c r="C549" s="1">
        <v>45141</v>
      </c>
      <c r="D549" t="s">
        <v>25</v>
      </c>
      <c r="E549" t="s">
        <v>25</v>
      </c>
      <c r="F549" t="s">
        <v>16</v>
      </c>
      <c r="G549" t="s">
        <v>17</v>
      </c>
      <c r="H549">
        <v>5</v>
      </c>
      <c r="I549">
        <v>0.15</v>
      </c>
      <c r="J549">
        <v>212.29</v>
      </c>
      <c r="K549" t="s">
        <v>52</v>
      </c>
      <c r="L549" t="s">
        <v>45</v>
      </c>
      <c r="M549" t="s">
        <v>25</v>
      </c>
    </row>
    <row r="550" spans="1:13" x14ac:dyDescent="0.2">
      <c r="A550">
        <v>549</v>
      </c>
      <c r="B550" t="s">
        <v>85</v>
      </c>
      <c r="C550" s="2">
        <v>45647</v>
      </c>
      <c r="D550" t="s">
        <v>86</v>
      </c>
      <c r="E550" t="s">
        <v>76</v>
      </c>
      <c r="F550" t="s">
        <v>53</v>
      </c>
      <c r="G550" t="s">
        <v>54</v>
      </c>
      <c r="H550">
        <v>2</v>
      </c>
      <c r="I550">
        <v>0</v>
      </c>
      <c r="J550">
        <v>179.9</v>
      </c>
      <c r="K550" t="s">
        <v>18</v>
      </c>
      <c r="M550" t="s">
        <v>73</v>
      </c>
    </row>
    <row r="551" spans="1:13" x14ac:dyDescent="0.2">
      <c r="A551">
        <v>550</v>
      </c>
      <c r="B551" t="s">
        <v>64</v>
      </c>
      <c r="C551" s="2">
        <v>45097</v>
      </c>
      <c r="D551" t="s">
        <v>65</v>
      </c>
      <c r="E551" t="s">
        <v>33</v>
      </c>
      <c r="F551" t="s">
        <v>34</v>
      </c>
      <c r="G551" t="s">
        <v>35</v>
      </c>
      <c r="H551">
        <v>4</v>
      </c>
      <c r="I551">
        <v>0.25</v>
      </c>
      <c r="J551">
        <v>224.85</v>
      </c>
      <c r="K551" t="s">
        <v>36</v>
      </c>
      <c r="L551" t="s">
        <v>55</v>
      </c>
      <c r="M551">
        <v>0</v>
      </c>
    </row>
    <row r="552" spans="1:13" x14ac:dyDescent="0.2">
      <c r="A552">
        <v>551</v>
      </c>
      <c r="B552" t="s">
        <v>64</v>
      </c>
      <c r="C552" s="2">
        <v>45461</v>
      </c>
      <c r="D552" t="s">
        <v>65</v>
      </c>
      <c r="E552" t="s">
        <v>33</v>
      </c>
      <c r="F552" t="s">
        <v>26</v>
      </c>
      <c r="G552" t="s">
        <v>22</v>
      </c>
      <c r="H552">
        <v>1</v>
      </c>
      <c r="I552">
        <v>0</v>
      </c>
      <c r="J552">
        <v>74.95</v>
      </c>
      <c r="K552" t="s">
        <v>18</v>
      </c>
      <c r="L552" t="s">
        <v>55</v>
      </c>
      <c r="M552">
        <v>0</v>
      </c>
    </row>
    <row r="553" spans="1:13" x14ac:dyDescent="0.2">
      <c r="A553">
        <v>552</v>
      </c>
      <c r="B553" t="s">
        <v>88</v>
      </c>
      <c r="C553" s="2">
        <v>45552</v>
      </c>
      <c r="D553" t="s">
        <v>89</v>
      </c>
      <c r="E553" t="s">
        <v>33</v>
      </c>
      <c r="F553" t="s">
        <v>40</v>
      </c>
      <c r="G553" t="s">
        <v>17</v>
      </c>
      <c r="H553">
        <v>2</v>
      </c>
      <c r="I553" t="s">
        <v>60</v>
      </c>
      <c r="J553">
        <v>396</v>
      </c>
      <c r="K553" t="s">
        <v>29</v>
      </c>
      <c r="L553" t="s">
        <v>28</v>
      </c>
      <c r="M553" t="b">
        <v>0</v>
      </c>
    </row>
    <row r="554" spans="1:13" x14ac:dyDescent="0.2">
      <c r="A554">
        <v>553</v>
      </c>
      <c r="B554" t="s">
        <v>19</v>
      </c>
      <c r="C554" s="1">
        <v>45350</v>
      </c>
      <c r="D554" t="s">
        <v>20</v>
      </c>
      <c r="E554" t="s">
        <v>15</v>
      </c>
      <c r="F554" t="s">
        <v>53</v>
      </c>
      <c r="G554" t="s">
        <v>54</v>
      </c>
      <c r="H554">
        <v>3</v>
      </c>
      <c r="I554">
        <v>0.25</v>
      </c>
      <c r="J554">
        <v>202.39</v>
      </c>
      <c r="K554" t="s">
        <v>80</v>
      </c>
      <c r="M554" t="b">
        <v>1</v>
      </c>
    </row>
    <row r="555" spans="1:13" x14ac:dyDescent="0.2">
      <c r="A555">
        <v>554</v>
      </c>
      <c r="B555" t="s">
        <v>24</v>
      </c>
      <c r="C555" s="2">
        <v>45554</v>
      </c>
      <c r="D555" t="s">
        <v>87</v>
      </c>
      <c r="E555" t="s">
        <v>39</v>
      </c>
      <c r="F555" t="s">
        <v>40</v>
      </c>
      <c r="G555" t="s">
        <v>17</v>
      </c>
      <c r="H555">
        <v>2</v>
      </c>
      <c r="I555">
        <v>0.25</v>
      </c>
      <c r="J555">
        <v>67.430000000000007</v>
      </c>
      <c r="K555" t="s">
        <v>36</v>
      </c>
      <c r="L555" t="s">
        <v>28</v>
      </c>
      <c r="M555" t="b">
        <v>1</v>
      </c>
    </row>
    <row r="556" spans="1:13" x14ac:dyDescent="0.2">
      <c r="A556">
        <v>555</v>
      </c>
      <c r="B556" t="s">
        <v>61</v>
      </c>
      <c r="C556" s="2">
        <v>45016</v>
      </c>
      <c r="D556" t="s">
        <v>62</v>
      </c>
      <c r="E556" t="s">
        <v>33</v>
      </c>
      <c r="F556" t="s">
        <v>34</v>
      </c>
      <c r="G556" t="s">
        <v>35</v>
      </c>
      <c r="H556">
        <v>5</v>
      </c>
      <c r="I556">
        <v>0</v>
      </c>
      <c r="J556">
        <v>174.95</v>
      </c>
      <c r="K556" t="s">
        <v>29</v>
      </c>
      <c r="L556" t="s">
        <v>45</v>
      </c>
      <c r="M556">
        <v>0</v>
      </c>
    </row>
    <row r="557" spans="1:13" x14ac:dyDescent="0.2">
      <c r="A557">
        <v>556</v>
      </c>
      <c r="B557" t="s">
        <v>37</v>
      </c>
      <c r="C557" s="2">
        <v>44956</v>
      </c>
      <c r="D557" t="s">
        <v>38</v>
      </c>
      <c r="E557" t="s">
        <v>39</v>
      </c>
      <c r="F557" t="s">
        <v>34</v>
      </c>
      <c r="G557" t="s">
        <v>35</v>
      </c>
      <c r="H557">
        <v>2</v>
      </c>
      <c r="I557">
        <v>0</v>
      </c>
      <c r="J557">
        <v>129.9</v>
      </c>
      <c r="K557" t="s">
        <v>29</v>
      </c>
      <c r="L557" t="s">
        <v>55</v>
      </c>
      <c r="M557">
        <v>1</v>
      </c>
    </row>
    <row r="558" spans="1:13" x14ac:dyDescent="0.2">
      <c r="A558">
        <v>557</v>
      </c>
      <c r="B558" t="s">
        <v>56</v>
      </c>
      <c r="C558" s="1">
        <v>45516</v>
      </c>
      <c r="D558" t="s">
        <v>57</v>
      </c>
      <c r="E558" t="s">
        <v>48</v>
      </c>
      <c r="F558" t="s">
        <v>66</v>
      </c>
      <c r="G558" t="s">
        <v>67</v>
      </c>
      <c r="H558">
        <v>4</v>
      </c>
      <c r="I558">
        <v>0</v>
      </c>
      <c r="J558">
        <v>340</v>
      </c>
      <c r="K558" t="s">
        <v>18</v>
      </c>
      <c r="L558" t="s">
        <v>49</v>
      </c>
      <c r="M558">
        <v>1</v>
      </c>
    </row>
    <row r="559" spans="1:13" x14ac:dyDescent="0.2">
      <c r="A559">
        <v>558</v>
      </c>
      <c r="B559" t="s">
        <v>19</v>
      </c>
      <c r="C559" s="2">
        <v>45016</v>
      </c>
      <c r="D559" t="s">
        <v>20</v>
      </c>
      <c r="E559" t="s">
        <v>15</v>
      </c>
      <c r="F559" t="s">
        <v>21</v>
      </c>
      <c r="G559" t="s">
        <v>22</v>
      </c>
      <c r="H559">
        <v>2</v>
      </c>
      <c r="I559">
        <v>0.1</v>
      </c>
      <c r="J559">
        <v>161.91</v>
      </c>
      <c r="K559" t="s">
        <v>52</v>
      </c>
      <c r="L559" t="s">
        <v>55</v>
      </c>
      <c r="M559" t="b">
        <v>1</v>
      </c>
    </row>
    <row r="560" spans="1:13" x14ac:dyDescent="0.2">
      <c r="A560">
        <v>559</v>
      </c>
      <c r="B560" t="s">
        <v>50</v>
      </c>
      <c r="C560" s="2">
        <v>45254</v>
      </c>
      <c r="D560" t="s">
        <v>51</v>
      </c>
      <c r="E560" t="s">
        <v>15</v>
      </c>
      <c r="F560" t="s">
        <v>26</v>
      </c>
      <c r="G560" t="s">
        <v>22</v>
      </c>
      <c r="H560">
        <v>1</v>
      </c>
      <c r="I560">
        <v>0.05</v>
      </c>
      <c r="J560">
        <v>66.45</v>
      </c>
      <c r="K560" t="s">
        <v>29</v>
      </c>
      <c r="M560">
        <v>0</v>
      </c>
    </row>
    <row r="561" spans="1:13" x14ac:dyDescent="0.2">
      <c r="A561">
        <v>560</v>
      </c>
      <c r="B561" t="s">
        <v>61</v>
      </c>
      <c r="C561" s="2">
        <v>45393</v>
      </c>
      <c r="D561" t="s">
        <v>62</v>
      </c>
      <c r="E561" t="s">
        <v>33</v>
      </c>
      <c r="F561" t="s">
        <v>40</v>
      </c>
      <c r="G561" t="s">
        <v>17</v>
      </c>
      <c r="H561">
        <v>3</v>
      </c>
      <c r="I561">
        <v>0.05</v>
      </c>
      <c r="J561">
        <v>99.72</v>
      </c>
      <c r="K561" t="s">
        <v>36</v>
      </c>
      <c r="L561" t="s">
        <v>41</v>
      </c>
      <c r="M561">
        <v>0</v>
      </c>
    </row>
    <row r="562" spans="1:13" x14ac:dyDescent="0.2">
      <c r="A562">
        <v>561</v>
      </c>
      <c r="B562" t="s">
        <v>64</v>
      </c>
      <c r="C562" s="1">
        <v>45225</v>
      </c>
      <c r="D562" t="s">
        <v>65</v>
      </c>
      <c r="E562" t="s">
        <v>33</v>
      </c>
      <c r="F562" t="s">
        <v>16</v>
      </c>
      <c r="G562" t="s">
        <v>17</v>
      </c>
      <c r="H562">
        <v>5</v>
      </c>
      <c r="I562">
        <v>0.25</v>
      </c>
      <c r="J562">
        <v>281.06</v>
      </c>
      <c r="K562" t="s">
        <v>29</v>
      </c>
      <c r="L562" t="s">
        <v>63</v>
      </c>
      <c r="M562">
        <v>0</v>
      </c>
    </row>
    <row r="563" spans="1:13" x14ac:dyDescent="0.2">
      <c r="A563">
        <v>562</v>
      </c>
      <c r="B563" t="s">
        <v>58</v>
      </c>
      <c r="C563" s="2">
        <v>45602</v>
      </c>
      <c r="D563" t="s">
        <v>59</v>
      </c>
      <c r="E563" t="s">
        <v>15</v>
      </c>
      <c r="F563" t="s">
        <v>34</v>
      </c>
      <c r="G563" t="s">
        <v>35</v>
      </c>
      <c r="H563">
        <v>2</v>
      </c>
      <c r="I563">
        <v>0.25</v>
      </c>
      <c r="J563">
        <v>89.93</v>
      </c>
      <c r="K563" t="s">
        <v>52</v>
      </c>
      <c r="L563" t="s">
        <v>28</v>
      </c>
      <c r="M563">
        <v>1</v>
      </c>
    </row>
    <row r="564" spans="1:13" x14ac:dyDescent="0.2">
      <c r="A564">
        <v>563</v>
      </c>
      <c r="B564" t="s">
        <v>50</v>
      </c>
      <c r="C564" s="1">
        <v>45258</v>
      </c>
      <c r="D564" t="s">
        <v>51</v>
      </c>
      <c r="E564" t="s">
        <v>15</v>
      </c>
      <c r="F564" t="s">
        <v>53</v>
      </c>
      <c r="G564" t="s">
        <v>54</v>
      </c>
      <c r="H564">
        <v>2</v>
      </c>
      <c r="I564">
        <v>0.2</v>
      </c>
      <c r="J564">
        <v>111.92</v>
      </c>
      <c r="K564" t="s">
        <v>18</v>
      </c>
      <c r="L564" t="s">
        <v>55</v>
      </c>
      <c r="M564">
        <v>0</v>
      </c>
    </row>
    <row r="565" spans="1:13" x14ac:dyDescent="0.2">
      <c r="A565">
        <v>564</v>
      </c>
      <c r="B565" t="s">
        <v>50</v>
      </c>
      <c r="C565" s="1">
        <v>45127</v>
      </c>
      <c r="D565" t="s">
        <v>51</v>
      </c>
      <c r="E565" t="s">
        <v>15</v>
      </c>
      <c r="F565" t="s">
        <v>44</v>
      </c>
      <c r="H565">
        <v>2</v>
      </c>
      <c r="I565">
        <v>0.05</v>
      </c>
      <c r="J565">
        <v>132.9</v>
      </c>
      <c r="K565" t="s">
        <v>36</v>
      </c>
      <c r="L565" t="s">
        <v>63</v>
      </c>
      <c r="M565">
        <v>0</v>
      </c>
    </row>
    <row r="566" spans="1:13" x14ac:dyDescent="0.2">
      <c r="A566">
        <v>565</v>
      </c>
      <c r="B566" t="s">
        <v>58</v>
      </c>
      <c r="C566" s="2">
        <v>44980</v>
      </c>
      <c r="D566" t="s">
        <v>59</v>
      </c>
      <c r="E566" t="s">
        <v>15</v>
      </c>
      <c r="F566" t="s">
        <v>66</v>
      </c>
      <c r="G566" t="s">
        <v>67</v>
      </c>
      <c r="H566">
        <v>1</v>
      </c>
      <c r="I566">
        <v>0.15</v>
      </c>
      <c r="J566">
        <v>50.96</v>
      </c>
      <c r="K566" t="s">
        <v>18</v>
      </c>
      <c r="M566">
        <v>1</v>
      </c>
    </row>
    <row r="567" spans="1:13" x14ac:dyDescent="0.2">
      <c r="A567">
        <v>566</v>
      </c>
      <c r="B567" t="s">
        <v>50</v>
      </c>
      <c r="C567" s="1">
        <v>45613</v>
      </c>
      <c r="D567" t="s">
        <v>51</v>
      </c>
      <c r="E567" t="s">
        <v>15</v>
      </c>
      <c r="F567" t="s">
        <v>44</v>
      </c>
      <c r="H567">
        <v>5</v>
      </c>
      <c r="I567">
        <v>0</v>
      </c>
      <c r="J567">
        <v>349.75</v>
      </c>
      <c r="K567" t="s">
        <v>36</v>
      </c>
      <c r="M567">
        <v>0</v>
      </c>
    </row>
    <row r="568" spans="1:13" x14ac:dyDescent="0.2">
      <c r="A568">
        <v>567</v>
      </c>
      <c r="B568" t="s">
        <v>83</v>
      </c>
      <c r="C568" s="1">
        <v>45513</v>
      </c>
      <c r="D568" t="s">
        <v>84</v>
      </c>
      <c r="E568" t="s">
        <v>48</v>
      </c>
      <c r="F568" t="s">
        <v>16</v>
      </c>
      <c r="G568" t="s">
        <v>17</v>
      </c>
      <c r="H568">
        <v>5</v>
      </c>
      <c r="I568">
        <v>0.05</v>
      </c>
      <c r="J568">
        <v>237.26</v>
      </c>
      <c r="K568" t="s">
        <v>80</v>
      </c>
      <c r="L568" t="s">
        <v>23</v>
      </c>
      <c r="M568">
        <v>0</v>
      </c>
    </row>
    <row r="569" spans="1:13" x14ac:dyDescent="0.2">
      <c r="A569">
        <v>568</v>
      </c>
      <c r="B569" t="s">
        <v>46</v>
      </c>
      <c r="C569" s="2">
        <v>45644</v>
      </c>
      <c r="D569" t="s">
        <v>47</v>
      </c>
      <c r="E569" t="s">
        <v>48</v>
      </c>
      <c r="F569" t="s">
        <v>66</v>
      </c>
      <c r="G569" t="s">
        <v>67</v>
      </c>
      <c r="H569">
        <v>3</v>
      </c>
      <c r="I569">
        <v>0</v>
      </c>
      <c r="J569">
        <v>149.85</v>
      </c>
      <c r="K569" t="s">
        <v>29</v>
      </c>
      <c r="L569" t="s">
        <v>45</v>
      </c>
      <c r="M569">
        <v>0</v>
      </c>
    </row>
    <row r="570" spans="1:13" x14ac:dyDescent="0.2">
      <c r="A570">
        <v>569</v>
      </c>
      <c r="B570" t="s">
        <v>37</v>
      </c>
      <c r="C570" s="2">
        <v>45495</v>
      </c>
      <c r="D570" t="s">
        <v>38</v>
      </c>
      <c r="E570" t="s">
        <v>39</v>
      </c>
      <c r="F570" t="s">
        <v>16</v>
      </c>
      <c r="G570" t="s">
        <v>17</v>
      </c>
      <c r="H570">
        <v>1</v>
      </c>
      <c r="I570">
        <v>0</v>
      </c>
      <c r="J570">
        <v>64.95</v>
      </c>
      <c r="K570" t="s">
        <v>27</v>
      </c>
      <c r="L570" t="s">
        <v>45</v>
      </c>
      <c r="M570">
        <v>1</v>
      </c>
    </row>
    <row r="571" spans="1:13" x14ac:dyDescent="0.2">
      <c r="A571">
        <v>570</v>
      </c>
      <c r="B571" t="s">
        <v>42</v>
      </c>
      <c r="C571" s="2">
        <v>45102</v>
      </c>
      <c r="D571" t="s">
        <v>43</v>
      </c>
      <c r="E571" t="s">
        <v>15</v>
      </c>
      <c r="F571" t="s">
        <v>26</v>
      </c>
      <c r="G571" t="s">
        <v>22</v>
      </c>
      <c r="H571">
        <v>1</v>
      </c>
      <c r="I571" t="s">
        <v>70</v>
      </c>
      <c r="J571">
        <v>129</v>
      </c>
      <c r="K571" t="s">
        <v>80</v>
      </c>
      <c r="L571" t="s">
        <v>49</v>
      </c>
      <c r="M571" t="b">
        <v>1</v>
      </c>
    </row>
    <row r="572" spans="1:13" x14ac:dyDescent="0.2">
      <c r="A572">
        <v>571</v>
      </c>
      <c r="B572" t="s">
        <v>71</v>
      </c>
      <c r="C572" s="2">
        <v>44972</v>
      </c>
      <c r="D572" t="s">
        <v>72</v>
      </c>
      <c r="E572" t="s">
        <v>33</v>
      </c>
      <c r="G572" t="s">
        <v>25</v>
      </c>
      <c r="H572">
        <v>5</v>
      </c>
      <c r="I572">
        <v>0.05</v>
      </c>
      <c r="J572">
        <v>284.76</v>
      </c>
      <c r="K572" t="s">
        <v>36</v>
      </c>
      <c r="L572" t="s">
        <v>55</v>
      </c>
      <c r="M572" t="s">
        <v>73</v>
      </c>
    </row>
    <row r="573" spans="1:13" x14ac:dyDescent="0.2">
      <c r="A573">
        <v>572</v>
      </c>
      <c r="B573" t="s">
        <v>61</v>
      </c>
      <c r="C573" s="2">
        <v>45188</v>
      </c>
      <c r="D573" t="s">
        <v>62</v>
      </c>
      <c r="E573" t="s">
        <v>33</v>
      </c>
      <c r="F573" t="s">
        <v>53</v>
      </c>
      <c r="G573" t="s">
        <v>54</v>
      </c>
      <c r="H573">
        <v>5</v>
      </c>
      <c r="I573">
        <v>0.2</v>
      </c>
      <c r="J573">
        <v>139.96</v>
      </c>
      <c r="K573" t="s">
        <v>80</v>
      </c>
      <c r="L573" t="s">
        <v>55</v>
      </c>
      <c r="M573">
        <v>0</v>
      </c>
    </row>
    <row r="574" spans="1:13" x14ac:dyDescent="0.2">
      <c r="A574">
        <v>573</v>
      </c>
      <c r="B574" t="s">
        <v>64</v>
      </c>
      <c r="C574" s="2">
        <v>45084</v>
      </c>
      <c r="D574" t="s">
        <v>65</v>
      </c>
      <c r="E574" t="s">
        <v>33</v>
      </c>
      <c r="F574" t="s">
        <v>16</v>
      </c>
      <c r="G574" t="s">
        <v>17</v>
      </c>
      <c r="H574">
        <v>2</v>
      </c>
      <c r="I574">
        <v>0.15</v>
      </c>
      <c r="J574">
        <v>127.42</v>
      </c>
      <c r="K574" t="s">
        <v>29</v>
      </c>
      <c r="L574" t="s">
        <v>45</v>
      </c>
      <c r="M574">
        <v>0</v>
      </c>
    </row>
    <row r="575" spans="1:13" x14ac:dyDescent="0.2">
      <c r="A575">
        <v>574</v>
      </c>
      <c r="B575" t="s">
        <v>88</v>
      </c>
      <c r="C575" s="2">
        <v>45076</v>
      </c>
      <c r="D575" t="s">
        <v>89</v>
      </c>
      <c r="E575" t="s">
        <v>33</v>
      </c>
      <c r="F575" t="s">
        <v>16</v>
      </c>
      <c r="G575" t="s">
        <v>17</v>
      </c>
      <c r="H575">
        <v>1</v>
      </c>
      <c r="I575">
        <v>0.15</v>
      </c>
      <c r="J575">
        <v>168.3</v>
      </c>
      <c r="K575" t="s">
        <v>52</v>
      </c>
      <c r="L575" t="s">
        <v>49</v>
      </c>
      <c r="M575" t="b">
        <v>0</v>
      </c>
    </row>
    <row r="576" spans="1:13" x14ac:dyDescent="0.2">
      <c r="A576">
        <v>575</v>
      </c>
      <c r="B576" t="s">
        <v>81</v>
      </c>
      <c r="C576" s="2">
        <v>45512</v>
      </c>
      <c r="D576" t="s">
        <v>82</v>
      </c>
      <c r="E576" t="s">
        <v>15</v>
      </c>
      <c r="F576" t="s">
        <v>53</v>
      </c>
      <c r="G576" t="s">
        <v>54</v>
      </c>
      <c r="H576">
        <v>4</v>
      </c>
      <c r="I576">
        <v>0</v>
      </c>
      <c r="J576">
        <v>319.8</v>
      </c>
      <c r="K576" t="s">
        <v>36</v>
      </c>
      <c r="L576" t="s">
        <v>49</v>
      </c>
      <c r="M576" t="s">
        <v>73</v>
      </c>
    </row>
    <row r="577" spans="1:13" x14ac:dyDescent="0.2">
      <c r="A577">
        <v>576</v>
      </c>
      <c r="B577" t="s">
        <v>83</v>
      </c>
      <c r="C577" s="1">
        <v>45630</v>
      </c>
      <c r="D577" t="s">
        <v>84</v>
      </c>
      <c r="E577" t="s">
        <v>48</v>
      </c>
      <c r="F577" t="s">
        <v>21</v>
      </c>
      <c r="G577" t="s">
        <v>22</v>
      </c>
      <c r="H577">
        <v>5</v>
      </c>
      <c r="I577">
        <v>0</v>
      </c>
      <c r="J577">
        <v>249.75</v>
      </c>
      <c r="K577" t="s">
        <v>27</v>
      </c>
      <c r="L577" t="s">
        <v>30</v>
      </c>
      <c r="M577">
        <v>0</v>
      </c>
    </row>
    <row r="578" spans="1:13" x14ac:dyDescent="0.2">
      <c r="A578">
        <v>577</v>
      </c>
      <c r="B578" t="s">
        <v>71</v>
      </c>
      <c r="C578" s="2">
        <v>45289</v>
      </c>
      <c r="D578" t="s">
        <v>72</v>
      </c>
      <c r="E578" t="s">
        <v>33</v>
      </c>
      <c r="F578" t="s">
        <v>34</v>
      </c>
      <c r="G578" t="s">
        <v>35</v>
      </c>
      <c r="H578">
        <v>4</v>
      </c>
      <c r="I578">
        <v>0.25</v>
      </c>
      <c r="J578">
        <v>179.85</v>
      </c>
      <c r="K578" t="s">
        <v>29</v>
      </c>
      <c r="L578" t="s">
        <v>45</v>
      </c>
      <c r="M578" t="s">
        <v>73</v>
      </c>
    </row>
    <row r="579" spans="1:13" x14ac:dyDescent="0.2">
      <c r="A579">
        <v>578</v>
      </c>
      <c r="B579" t="s">
        <v>85</v>
      </c>
      <c r="C579" s="2">
        <v>45172</v>
      </c>
      <c r="D579" t="s">
        <v>86</v>
      </c>
      <c r="E579" t="s">
        <v>76</v>
      </c>
      <c r="F579" t="s">
        <v>53</v>
      </c>
      <c r="G579" t="s">
        <v>54</v>
      </c>
      <c r="H579">
        <v>3</v>
      </c>
      <c r="I579">
        <v>0</v>
      </c>
      <c r="J579">
        <v>269.85000000000002</v>
      </c>
      <c r="K579" t="s">
        <v>27</v>
      </c>
      <c r="L579" t="s">
        <v>55</v>
      </c>
      <c r="M579" t="s">
        <v>73</v>
      </c>
    </row>
    <row r="580" spans="1:13" x14ac:dyDescent="0.2">
      <c r="A580">
        <v>579</v>
      </c>
      <c r="B580" t="s">
        <v>78</v>
      </c>
      <c r="C580" s="1">
        <v>45628</v>
      </c>
      <c r="D580" t="s">
        <v>79</v>
      </c>
      <c r="E580" t="s">
        <v>48</v>
      </c>
      <c r="F580" t="s">
        <v>21</v>
      </c>
      <c r="G580" t="s">
        <v>22</v>
      </c>
      <c r="H580">
        <v>2</v>
      </c>
      <c r="I580">
        <v>0.25</v>
      </c>
      <c r="J580">
        <v>59.92</v>
      </c>
      <c r="K580" t="s">
        <v>80</v>
      </c>
      <c r="L580" t="s">
        <v>41</v>
      </c>
      <c r="M580">
        <v>1</v>
      </c>
    </row>
    <row r="581" spans="1:13" x14ac:dyDescent="0.2">
      <c r="A581">
        <v>580</v>
      </c>
      <c r="B581" t="s">
        <v>19</v>
      </c>
      <c r="C581" s="1">
        <v>45617</v>
      </c>
      <c r="D581" t="s">
        <v>25</v>
      </c>
      <c r="E581" t="s">
        <v>25</v>
      </c>
      <c r="F581" t="s">
        <v>40</v>
      </c>
      <c r="G581" t="s">
        <v>17</v>
      </c>
      <c r="H581">
        <v>5</v>
      </c>
      <c r="I581">
        <v>0</v>
      </c>
      <c r="J581">
        <v>449.75</v>
      </c>
      <c r="K581" t="s">
        <v>18</v>
      </c>
      <c r="L581" t="s">
        <v>41</v>
      </c>
      <c r="M581" t="s">
        <v>25</v>
      </c>
    </row>
    <row r="582" spans="1:13" x14ac:dyDescent="0.2">
      <c r="A582">
        <v>581</v>
      </c>
      <c r="B582" t="s">
        <v>88</v>
      </c>
      <c r="C582" s="2">
        <v>45421</v>
      </c>
      <c r="D582" t="s">
        <v>89</v>
      </c>
      <c r="E582" t="s">
        <v>33</v>
      </c>
      <c r="F582" t="s">
        <v>16</v>
      </c>
      <c r="G582" t="s">
        <v>17</v>
      </c>
      <c r="H582">
        <v>2</v>
      </c>
      <c r="I582">
        <v>0</v>
      </c>
      <c r="J582">
        <v>396</v>
      </c>
      <c r="K582" t="s">
        <v>52</v>
      </c>
      <c r="L582" t="s">
        <v>30</v>
      </c>
      <c r="M582" t="b">
        <v>0</v>
      </c>
    </row>
    <row r="583" spans="1:13" x14ac:dyDescent="0.2">
      <c r="A583">
        <v>582</v>
      </c>
      <c r="B583" t="s">
        <v>24</v>
      </c>
      <c r="C583" s="1">
        <v>44933</v>
      </c>
      <c r="D583" t="s">
        <v>87</v>
      </c>
      <c r="E583" t="s">
        <v>39</v>
      </c>
      <c r="F583" t="s">
        <v>26</v>
      </c>
      <c r="G583" t="s">
        <v>22</v>
      </c>
      <c r="H583">
        <v>5</v>
      </c>
      <c r="I583">
        <v>0.25</v>
      </c>
      <c r="J583">
        <v>168.56</v>
      </c>
      <c r="K583" t="s">
        <v>52</v>
      </c>
      <c r="M583" t="b">
        <v>1</v>
      </c>
    </row>
    <row r="584" spans="1:13" x14ac:dyDescent="0.2">
      <c r="A584">
        <v>583</v>
      </c>
      <c r="B584" t="s">
        <v>42</v>
      </c>
      <c r="C584" s="2">
        <v>45426</v>
      </c>
      <c r="D584" t="s">
        <v>43</v>
      </c>
      <c r="E584" t="s">
        <v>15</v>
      </c>
      <c r="F584" t="s">
        <v>34</v>
      </c>
      <c r="G584" t="s">
        <v>35</v>
      </c>
      <c r="H584">
        <v>5</v>
      </c>
      <c r="I584">
        <v>0</v>
      </c>
      <c r="J584">
        <v>645</v>
      </c>
      <c r="K584" t="s">
        <v>27</v>
      </c>
      <c r="L584" t="s">
        <v>28</v>
      </c>
      <c r="M584" t="b">
        <v>1</v>
      </c>
    </row>
    <row r="585" spans="1:13" x14ac:dyDescent="0.2">
      <c r="A585">
        <v>584</v>
      </c>
      <c r="B585" t="s">
        <v>24</v>
      </c>
      <c r="C585" s="2">
        <v>45371</v>
      </c>
      <c r="D585" t="s">
        <v>87</v>
      </c>
      <c r="E585" t="s">
        <v>39</v>
      </c>
      <c r="F585" t="s">
        <v>16</v>
      </c>
      <c r="G585" t="s">
        <v>17</v>
      </c>
      <c r="H585">
        <v>4</v>
      </c>
      <c r="I585">
        <v>0</v>
      </c>
      <c r="J585">
        <v>179.8</v>
      </c>
      <c r="K585" t="s">
        <v>52</v>
      </c>
      <c r="L585" t="s">
        <v>45</v>
      </c>
      <c r="M585" t="b">
        <v>1</v>
      </c>
    </row>
    <row r="586" spans="1:13" x14ac:dyDescent="0.2">
      <c r="A586">
        <v>585</v>
      </c>
      <c r="B586" t="s">
        <v>37</v>
      </c>
      <c r="C586" s="1">
        <v>45427</v>
      </c>
      <c r="D586" t="s">
        <v>38</v>
      </c>
      <c r="E586" t="s">
        <v>39</v>
      </c>
      <c r="F586" t="s">
        <v>66</v>
      </c>
      <c r="G586" t="s">
        <v>67</v>
      </c>
      <c r="H586">
        <v>4</v>
      </c>
      <c r="I586">
        <v>0.1</v>
      </c>
      <c r="J586">
        <v>233.82</v>
      </c>
      <c r="K586" t="s">
        <v>29</v>
      </c>
      <c r="L586" t="s">
        <v>55</v>
      </c>
      <c r="M586">
        <v>1</v>
      </c>
    </row>
    <row r="587" spans="1:13" x14ac:dyDescent="0.2">
      <c r="A587">
        <v>586</v>
      </c>
      <c r="B587" t="s">
        <v>61</v>
      </c>
      <c r="C587" s="2">
        <v>45086</v>
      </c>
      <c r="D587" t="s">
        <v>62</v>
      </c>
      <c r="E587" t="s">
        <v>33</v>
      </c>
      <c r="F587" t="s">
        <v>21</v>
      </c>
      <c r="G587" t="s">
        <v>22</v>
      </c>
      <c r="H587">
        <v>1</v>
      </c>
      <c r="I587">
        <v>0</v>
      </c>
      <c r="J587">
        <v>34.99</v>
      </c>
      <c r="K587" t="s">
        <v>18</v>
      </c>
      <c r="L587" t="s">
        <v>23</v>
      </c>
      <c r="M587">
        <v>0</v>
      </c>
    </row>
    <row r="588" spans="1:13" x14ac:dyDescent="0.2">
      <c r="A588">
        <v>587</v>
      </c>
      <c r="B588" t="s">
        <v>50</v>
      </c>
      <c r="C588" s="2">
        <v>45559</v>
      </c>
      <c r="D588" t="s">
        <v>51</v>
      </c>
      <c r="E588" t="s">
        <v>15</v>
      </c>
      <c r="F588" t="s">
        <v>53</v>
      </c>
      <c r="G588" t="s">
        <v>54</v>
      </c>
      <c r="H588">
        <v>4</v>
      </c>
      <c r="I588">
        <v>0</v>
      </c>
      <c r="J588">
        <v>279.8</v>
      </c>
      <c r="K588" t="s">
        <v>18</v>
      </c>
      <c r="L588" t="s">
        <v>28</v>
      </c>
      <c r="M588">
        <v>0</v>
      </c>
    </row>
    <row r="589" spans="1:13" x14ac:dyDescent="0.2">
      <c r="A589">
        <v>588</v>
      </c>
      <c r="B589" t="s">
        <v>46</v>
      </c>
      <c r="C589" s="1">
        <v>45571</v>
      </c>
      <c r="D589" t="s">
        <v>47</v>
      </c>
      <c r="E589" t="s">
        <v>48</v>
      </c>
      <c r="F589" t="s">
        <v>44</v>
      </c>
      <c r="H589">
        <v>5</v>
      </c>
      <c r="I589">
        <v>0</v>
      </c>
      <c r="J589">
        <v>249.75</v>
      </c>
      <c r="K589" t="s">
        <v>80</v>
      </c>
      <c r="L589" t="s">
        <v>63</v>
      </c>
      <c r="M589">
        <v>0</v>
      </c>
    </row>
    <row r="590" spans="1:13" x14ac:dyDescent="0.2">
      <c r="A590">
        <v>589</v>
      </c>
      <c r="B590" t="s">
        <v>74</v>
      </c>
      <c r="C590" s="2">
        <v>45271</v>
      </c>
      <c r="D590" t="s">
        <v>75</v>
      </c>
      <c r="E590" t="s">
        <v>76</v>
      </c>
      <c r="F590" t="s">
        <v>26</v>
      </c>
      <c r="G590" t="s">
        <v>22</v>
      </c>
      <c r="H590">
        <v>4</v>
      </c>
      <c r="I590">
        <v>0.1</v>
      </c>
      <c r="J590">
        <v>161.82</v>
      </c>
      <c r="K590" t="s">
        <v>18</v>
      </c>
      <c r="L590" t="s">
        <v>63</v>
      </c>
      <c r="M590" t="s">
        <v>77</v>
      </c>
    </row>
    <row r="591" spans="1:13" x14ac:dyDescent="0.2">
      <c r="A591">
        <v>590</v>
      </c>
      <c r="B591" t="s">
        <v>58</v>
      </c>
      <c r="C591" s="1">
        <v>45603</v>
      </c>
      <c r="D591" t="s">
        <v>59</v>
      </c>
      <c r="E591" t="s">
        <v>15</v>
      </c>
      <c r="F591" t="s">
        <v>40</v>
      </c>
      <c r="G591" t="s">
        <v>17</v>
      </c>
      <c r="H591">
        <v>2</v>
      </c>
      <c r="I591">
        <v>0</v>
      </c>
      <c r="J591">
        <v>119.9</v>
      </c>
      <c r="K591" t="s">
        <v>27</v>
      </c>
      <c r="L591" t="s">
        <v>23</v>
      </c>
      <c r="M591">
        <v>1</v>
      </c>
    </row>
    <row r="592" spans="1:13" x14ac:dyDescent="0.2">
      <c r="A592">
        <v>591</v>
      </c>
      <c r="B592" t="s">
        <v>46</v>
      </c>
      <c r="C592" s="1">
        <v>45297</v>
      </c>
      <c r="D592" t="s">
        <v>47</v>
      </c>
      <c r="E592" t="s">
        <v>48</v>
      </c>
      <c r="F592" t="s">
        <v>16</v>
      </c>
      <c r="G592" t="s">
        <v>17</v>
      </c>
      <c r="H592">
        <v>1</v>
      </c>
      <c r="I592">
        <v>0</v>
      </c>
      <c r="J592">
        <v>49.95</v>
      </c>
      <c r="K592" t="s">
        <v>52</v>
      </c>
      <c r="L592" t="s">
        <v>49</v>
      </c>
      <c r="M592">
        <v>0</v>
      </c>
    </row>
    <row r="593" spans="1:13" x14ac:dyDescent="0.2">
      <c r="A593">
        <v>592</v>
      </c>
      <c r="B593" t="s">
        <v>58</v>
      </c>
      <c r="C593" s="2">
        <v>45383</v>
      </c>
      <c r="D593" t="s">
        <v>59</v>
      </c>
      <c r="E593" t="s">
        <v>15</v>
      </c>
      <c r="F593" t="s">
        <v>16</v>
      </c>
      <c r="G593" t="s">
        <v>17</v>
      </c>
      <c r="H593">
        <v>5</v>
      </c>
      <c r="I593">
        <v>0.05</v>
      </c>
      <c r="J593">
        <v>284.76</v>
      </c>
      <c r="K593" t="s">
        <v>36</v>
      </c>
      <c r="L593" t="s">
        <v>63</v>
      </c>
      <c r="M593">
        <v>1</v>
      </c>
    </row>
    <row r="594" spans="1:13" x14ac:dyDescent="0.2">
      <c r="A594">
        <v>593</v>
      </c>
      <c r="B594" t="s">
        <v>85</v>
      </c>
      <c r="C594" s="1">
        <v>45386</v>
      </c>
      <c r="D594" t="s">
        <v>86</v>
      </c>
      <c r="E594" t="s">
        <v>76</v>
      </c>
      <c r="F594" t="s">
        <v>34</v>
      </c>
      <c r="G594" t="s">
        <v>35</v>
      </c>
      <c r="H594">
        <v>5</v>
      </c>
      <c r="I594">
        <v>0.1</v>
      </c>
      <c r="J594">
        <v>404.78</v>
      </c>
      <c r="K594" t="s">
        <v>52</v>
      </c>
      <c r="M594" t="s">
        <v>73</v>
      </c>
    </row>
    <row r="595" spans="1:13" x14ac:dyDescent="0.2">
      <c r="A595">
        <v>594</v>
      </c>
      <c r="B595" t="s">
        <v>50</v>
      </c>
      <c r="C595" s="2">
        <v>45334</v>
      </c>
      <c r="D595" t="s">
        <v>51</v>
      </c>
      <c r="E595" t="s">
        <v>15</v>
      </c>
      <c r="F595" t="s">
        <v>66</v>
      </c>
      <c r="G595" t="s">
        <v>67</v>
      </c>
      <c r="H595">
        <v>1</v>
      </c>
      <c r="I595">
        <v>0</v>
      </c>
      <c r="J595">
        <v>69.95</v>
      </c>
      <c r="K595" t="s">
        <v>36</v>
      </c>
      <c r="L595" t="s">
        <v>63</v>
      </c>
      <c r="M595">
        <v>0</v>
      </c>
    </row>
    <row r="596" spans="1:13" x14ac:dyDescent="0.2">
      <c r="A596">
        <v>595</v>
      </c>
      <c r="B596" t="s">
        <v>37</v>
      </c>
      <c r="C596" s="1">
        <v>45150</v>
      </c>
      <c r="D596" t="s">
        <v>38</v>
      </c>
      <c r="E596" t="s">
        <v>39</v>
      </c>
      <c r="F596" t="s">
        <v>53</v>
      </c>
      <c r="G596" t="s">
        <v>54</v>
      </c>
      <c r="H596">
        <v>2</v>
      </c>
      <c r="I596">
        <v>0</v>
      </c>
      <c r="J596">
        <v>129.9</v>
      </c>
      <c r="K596" t="s">
        <v>80</v>
      </c>
      <c r="L596" t="s">
        <v>45</v>
      </c>
      <c r="M596">
        <v>1</v>
      </c>
    </row>
    <row r="597" spans="1:13" x14ac:dyDescent="0.2">
      <c r="A597">
        <v>596</v>
      </c>
      <c r="B597" t="s">
        <v>56</v>
      </c>
      <c r="C597" s="2">
        <v>45473</v>
      </c>
      <c r="D597" t="s">
        <v>57</v>
      </c>
      <c r="E597" t="s">
        <v>48</v>
      </c>
      <c r="F597" t="s">
        <v>53</v>
      </c>
      <c r="G597" t="s">
        <v>54</v>
      </c>
      <c r="H597">
        <v>1</v>
      </c>
      <c r="I597">
        <v>0</v>
      </c>
      <c r="J597">
        <v>85</v>
      </c>
      <c r="K597" t="s">
        <v>27</v>
      </c>
      <c r="M597">
        <v>1</v>
      </c>
    </row>
    <row r="598" spans="1:13" x14ac:dyDescent="0.2">
      <c r="A598">
        <v>597</v>
      </c>
      <c r="B598" t="s">
        <v>56</v>
      </c>
      <c r="C598" s="2">
        <v>45546</v>
      </c>
      <c r="D598" t="s">
        <v>57</v>
      </c>
      <c r="E598" t="s">
        <v>48</v>
      </c>
      <c r="F598" t="s">
        <v>34</v>
      </c>
      <c r="G598" t="s">
        <v>35</v>
      </c>
      <c r="H598">
        <v>1</v>
      </c>
      <c r="I598">
        <v>0</v>
      </c>
      <c r="J598">
        <v>85</v>
      </c>
      <c r="K598" t="s">
        <v>36</v>
      </c>
      <c r="L598" t="s">
        <v>49</v>
      </c>
      <c r="M598">
        <v>1</v>
      </c>
    </row>
    <row r="599" spans="1:13" x14ac:dyDescent="0.2">
      <c r="A599">
        <v>598</v>
      </c>
      <c r="B599" t="s">
        <v>68</v>
      </c>
      <c r="C599" s="1">
        <v>44943</v>
      </c>
      <c r="D599" t="s">
        <v>69</v>
      </c>
      <c r="E599" t="s">
        <v>33</v>
      </c>
      <c r="F599" t="s">
        <v>26</v>
      </c>
      <c r="G599" t="s">
        <v>22</v>
      </c>
      <c r="H599">
        <v>2</v>
      </c>
      <c r="I599">
        <v>0.1</v>
      </c>
      <c r="J599">
        <v>214.2</v>
      </c>
      <c r="K599" t="s">
        <v>52</v>
      </c>
      <c r="L599" t="s">
        <v>45</v>
      </c>
      <c r="M599" t="b">
        <v>0</v>
      </c>
    </row>
    <row r="600" spans="1:13" x14ac:dyDescent="0.2">
      <c r="A600">
        <v>599</v>
      </c>
      <c r="B600" t="s">
        <v>24</v>
      </c>
      <c r="C600" s="1">
        <v>45522</v>
      </c>
      <c r="D600" t="s">
        <v>87</v>
      </c>
      <c r="E600" t="s">
        <v>39</v>
      </c>
      <c r="F600" t="s">
        <v>34</v>
      </c>
      <c r="G600" t="s">
        <v>35</v>
      </c>
      <c r="H600">
        <v>2</v>
      </c>
      <c r="I600">
        <v>0.15</v>
      </c>
      <c r="J600">
        <v>76.42</v>
      </c>
      <c r="K600" t="s">
        <v>18</v>
      </c>
      <c r="L600" t="s">
        <v>30</v>
      </c>
      <c r="M600" t="b">
        <v>1</v>
      </c>
    </row>
    <row r="601" spans="1:13" x14ac:dyDescent="0.2">
      <c r="A601">
        <v>600</v>
      </c>
      <c r="B601" t="s">
        <v>24</v>
      </c>
      <c r="C601" s="1">
        <v>45429</v>
      </c>
      <c r="D601" t="s">
        <v>87</v>
      </c>
      <c r="E601" t="s">
        <v>39</v>
      </c>
      <c r="F601" t="s">
        <v>66</v>
      </c>
      <c r="G601" t="s">
        <v>67</v>
      </c>
      <c r="H601">
        <v>2</v>
      </c>
      <c r="I601">
        <v>0</v>
      </c>
      <c r="J601">
        <v>89.9</v>
      </c>
      <c r="K601" t="s">
        <v>80</v>
      </c>
      <c r="L601" t="s">
        <v>63</v>
      </c>
      <c r="M601" t="b">
        <v>1</v>
      </c>
    </row>
    <row r="602" spans="1:13" x14ac:dyDescent="0.2">
      <c r="A602">
        <v>601</v>
      </c>
      <c r="B602" t="s">
        <v>19</v>
      </c>
      <c r="C602" s="2">
        <v>45466</v>
      </c>
      <c r="D602" t="s">
        <v>20</v>
      </c>
      <c r="E602" t="s">
        <v>15</v>
      </c>
      <c r="F602" t="s">
        <v>21</v>
      </c>
      <c r="G602" t="s">
        <v>22</v>
      </c>
      <c r="H602">
        <v>4</v>
      </c>
      <c r="I602">
        <v>0.2</v>
      </c>
      <c r="J602">
        <v>287.83999999999997</v>
      </c>
      <c r="K602" t="s">
        <v>36</v>
      </c>
      <c r="L602" t="s">
        <v>55</v>
      </c>
      <c r="M602" t="b">
        <v>1</v>
      </c>
    </row>
    <row r="603" spans="1:13" x14ac:dyDescent="0.2">
      <c r="A603">
        <v>602</v>
      </c>
      <c r="B603" t="s">
        <v>61</v>
      </c>
      <c r="C603" s="1">
        <v>45569</v>
      </c>
      <c r="D603" t="s">
        <v>62</v>
      </c>
      <c r="E603" t="s">
        <v>33</v>
      </c>
      <c r="G603" t="s">
        <v>25</v>
      </c>
      <c r="H603">
        <v>2</v>
      </c>
      <c r="I603">
        <v>0</v>
      </c>
      <c r="J603">
        <v>69.98</v>
      </c>
      <c r="K603" t="s">
        <v>18</v>
      </c>
      <c r="L603" t="s">
        <v>30</v>
      </c>
      <c r="M603">
        <v>0</v>
      </c>
    </row>
    <row r="604" spans="1:13" x14ac:dyDescent="0.2">
      <c r="A604">
        <v>603</v>
      </c>
      <c r="B604" t="s">
        <v>81</v>
      </c>
      <c r="C604" s="2">
        <v>45417</v>
      </c>
      <c r="D604" t="s">
        <v>25</v>
      </c>
      <c r="E604" t="s">
        <v>25</v>
      </c>
      <c r="F604" t="s">
        <v>44</v>
      </c>
      <c r="H604">
        <v>4</v>
      </c>
      <c r="I604">
        <v>0</v>
      </c>
      <c r="J604">
        <v>319.8</v>
      </c>
      <c r="K604" t="s">
        <v>52</v>
      </c>
      <c r="L604" t="s">
        <v>30</v>
      </c>
      <c r="M604" t="s">
        <v>25</v>
      </c>
    </row>
    <row r="605" spans="1:13" x14ac:dyDescent="0.2">
      <c r="A605">
        <v>604</v>
      </c>
      <c r="B605" t="s">
        <v>61</v>
      </c>
      <c r="C605" s="2">
        <v>45364</v>
      </c>
      <c r="D605" t="s">
        <v>62</v>
      </c>
      <c r="E605" t="s">
        <v>33</v>
      </c>
      <c r="F605" t="s">
        <v>21</v>
      </c>
      <c r="G605" t="s">
        <v>22</v>
      </c>
      <c r="H605">
        <v>1</v>
      </c>
      <c r="I605">
        <v>0.05</v>
      </c>
      <c r="J605">
        <v>33.24</v>
      </c>
      <c r="K605" t="s">
        <v>18</v>
      </c>
      <c r="L605" t="s">
        <v>23</v>
      </c>
      <c r="M605">
        <v>0</v>
      </c>
    </row>
    <row r="606" spans="1:13" x14ac:dyDescent="0.2">
      <c r="A606">
        <v>605</v>
      </c>
      <c r="B606" t="s">
        <v>46</v>
      </c>
      <c r="C606" s="1">
        <v>45005</v>
      </c>
      <c r="D606" t="s">
        <v>47</v>
      </c>
      <c r="E606" t="s">
        <v>48</v>
      </c>
      <c r="F606" t="s">
        <v>66</v>
      </c>
      <c r="G606" t="s">
        <v>67</v>
      </c>
      <c r="H606">
        <v>2</v>
      </c>
      <c r="I606">
        <v>0</v>
      </c>
      <c r="J606">
        <v>99.9</v>
      </c>
      <c r="K606" t="s">
        <v>52</v>
      </c>
      <c r="L606" t="s">
        <v>30</v>
      </c>
      <c r="M606">
        <v>0</v>
      </c>
    </row>
    <row r="607" spans="1:13" x14ac:dyDescent="0.2">
      <c r="A607">
        <v>606</v>
      </c>
      <c r="B607" t="s">
        <v>85</v>
      </c>
      <c r="C607" s="2">
        <v>45033</v>
      </c>
      <c r="D607" t="s">
        <v>25</v>
      </c>
      <c r="E607" t="s">
        <v>25</v>
      </c>
      <c r="F607" t="s">
        <v>66</v>
      </c>
      <c r="G607" t="s">
        <v>67</v>
      </c>
      <c r="H607">
        <v>2</v>
      </c>
      <c r="I607">
        <v>0.1</v>
      </c>
      <c r="J607">
        <v>161.91</v>
      </c>
      <c r="K607" t="s">
        <v>52</v>
      </c>
      <c r="M607" t="s">
        <v>25</v>
      </c>
    </row>
    <row r="608" spans="1:13" x14ac:dyDescent="0.2">
      <c r="A608">
        <v>607</v>
      </c>
      <c r="B608" t="s">
        <v>61</v>
      </c>
      <c r="C608" s="2">
        <v>45416</v>
      </c>
      <c r="D608" t="s">
        <v>62</v>
      </c>
      <c r="E608" t="s">
        <v>33</v>
      </c>
      <c r="F608" t="s">
        <v>66</v>
      </c>
      <c r="G608" t="s">
        <v>67</v>
      </c>
      <c r="H608">
        <v>3</v>
      </c>
      <c r="I608">
        <v>0</v>
      </c>
      <c r="J608">
        <v>104.97</v>
      </c>
      <c r="K608" t="s">
        <v>29</v>
      </c>
      <c r="L608" t="s">
        <v>28</v>
      </c>
      <c r="M608">
        <v>0</v>
      </c>
    </row>
    <row r="609" spans="1:13" x14ac:dyDescent="0.2">
      <c r="A609">
        <v>608</v>
      </c>
      <c r="B609" t="s">
        <v>85</v>
      </c>
      <c r="C609" s="2">
        <v>45596</v>
      </c>
      <c r="D609" t="s">
        <v>86</v>
      </c>
      <c r="E609" t="s">
        <v>76</v>
      </c>
      <c r="F609" t="s">
        <v>44</v>
      </c>
      <c r="H609">
        <v>4</v>
      </c>
      <c r="I609">
        <v>0.2</v>
      </c>
      <c r="J609">
        <v>287.83999999999997</v>
      </c>
      <c r="K609" t="s">
        <v>18</v>
      </c>
      <c r="L609" t="s">
        <v>49</v>
      </c>
      <c r="M609" t="s">
        <v>73</v>
      </c>
    </row>
    <row r="610" spans="1:13" x14ac:dyDescent="0.2">
      <c r="A610">
        <v>609</v>
      </c>
      <c r="B610" t="s">
        <v>42</v>
      </c>
      <c r="C610" s="2">
        <v>44944</v>
      </c>
      <c r="D610" t="s">
        <v>43</v>
      </c>
      <c r="E610" t="s">
        <v>15</v>
      </c>
      <c r="F610" t="s">
        <v>34</v>
      </c>
      <c r="G610" t="s">
        <v>35</v>
      </c>
      <c r="H610">
        <v>2</v>
      </c>
      <c r="I610" t="s">
        <v>70</v>
      </c>
      <c r="J610">
        <v>258</v>
      </c>
      <c r="K610" t="s">
        <v>18</v>
      </c>
      <c r="L610" t="s">
        <v>23</v>
      </c>
      <c r="M610" t="b">
        <v>1</v>
      </c>
    </row>
    <row r="611" spans="1:13" x14ac:dyDescent="0.2">
      <c r="A611">
        <v>610</v>
      </c>
      <c r="B611" t="s">
        <v>61</v>
      </c>
      <c r="C611" s="2">
        <v>45156</v>
      </c>
      <c r="D611" t="s">
        <v>62</v>
      </c>
      <c r="E611" t="s">
        <v>33</v>
      </c>
      <c r="F611" t="s">
        <v>44</v>
      </c>
      <c r="H611">
        <v>5</v>
      </c>
      <c r="I611">
        <v>0.2</v>
      </c>
      <c r="J611">
        <v>139.96</v>
      </c>
      <c r="K611" t="s">
        <v>18</v>
      </c>
      <c r="L611" t="s">
        <v>63</v>
      </c>
      <c r="M611">
        <v>0</v>
      </c>
    </row>
    <row r="612" spans="1:13" x14ac:dyDescent="0.2">
      <c r="A612">
        <v>611</v>
      </c>
      <c r="B612" t="s">
        <v>46</v>
      </c>
      <c r="C612" s="2">
        <v>45088</v>
      </c>
      <c r="D612" t="s">
        <v>47</v>
      </c>
      <c r="E612" t="s">
        <v>48</v>
      </c>
      <c r="F612" t="s">
        <v>26</v>
      </c>
      <c r="G612" t="s">
        <v>22</v>
      </c>
      <c r="H612">
        <v>5</v>
      </c>
      <c r="I612">
        <v>0</v>
      </c>
      <c r="J612">
        <v>249.75</v>
      </c>
      <c r="K612" t="s">
        <v>80</v>
      </c>
      <c r="L612" t="s">
        <v>41</v>
      </c>
      <c r="M612">
        <v>0</v>
      </c>
    </row>
    <row r="613" spans="1:13" x14ac:dyDescent="0.2">
      <c r="A613">
        <v>612</v>
      </c>
      <c r="B613" t="s">
        <v>61</v>
      </c>
      <c r="C613" s="2">
        <v>45272</v>
      </c>
      <c r="D613" t="s">
        <v>25</v>
      </c>
      <c r="E613" t="s">
        <v>25</v>
      </c>
      <c r="F613" t="s">
        <v>44</v>
      </c>
      <c r="H613">
        <v>5</v>
      </c>
      <c r="I613">
        <v>0.1</v>
      </c>
      <c r="J613">
        <v>157.46</v>
      </c>
      <c r="K613" t="s">
        <v>29</v>
      </c>
      <c r="L613" t="s">
        <v>41</v>
      </c>
      <c r="M613" t="s">
        <v>25</v>
      </c>
    </row>
    <row r="614" spans="1:13" x14ac:dyDescent="0.2">
      <c r="A614">
        <v>613</v>
      </c>
      <c r="B614" t="s">
        <v>74</v>
      </c>
      <c r="C614" s="2">
        <v>45440</v>
      </c>
      <c r="D614" t="s">
        <v>75</v>
      </c>
      <c r="E614" t="s">
        <v>76</v>
      </c>
      <c r="F614" t="s">
        <v>26</v>
      </c>
      <c r="G614" t="s">
        <v>22</v>
      </c>
      <c r="H614">
        <v>4</v>
      </c>
      <c r="I614">
        <v>0.25</v>
      </c>
      <c r="J614">
        <v>134.85</v>
      </c>
      <c r="K614" t="s">
        <v>80</v>
      </c>
      <c r="L614" t="s">
        <v>30</v>
      </c>
      <c r="M614" t="s">
        <v>77</v>
      </c>
    </row>
    <row r="615" spans="1:13" x14ac:dyDescent="0.2">
      <c r="A615">
        <v>614</v>
      </c>
      <c r="B615" t="s">
        <v>19</v>
      </c>
      <c r="C615" s="2">
        <v>45406</v>
      </c>
      <c r="D615" t="s">
        <v>20</v>
      </c>
      <c r="E615" t="s">
        <v>15</v>
      </c>
      <c r="F615" t="s">
        <v>26</v>
      </c>
      <c r="G615" t="s">
        <v>22</v>
      </c>
      <c r="H615">
        <v>4</v>
      </c>
      <c r="I615">
        <v>0</v>
      </c>
      <c r="J615">
        <v>359.8</v>
      </c>
      <c r="K615" t="s">
        <v>36</v>
      </c>
      <c r="L615" t="s">
        <v>55</v>
      </c>
      <c r="M615" t="b">
        <v>1</v>
      </c>
    </row>
    <row r="616" spans="1:13" x14ac:dyDescent="0.2">
      <c r="A616">
        <v>615</v>
      </c>
      <c r="B616" t="s">
        <v>68</v>
      </c>
      <c r="C616" s="2">
        <v>45215</v>
      </c>
      <c r="D616" t="s">
        <v>69</v>
      </c>
      <c r="E616" t="s">
        <v>33</v>
      </c>
      <c r="F616" t="s">
        <v>16</v>
      </c>
      <c r="G616" t="s">
        <v>17</v>
      </c>
      <c r="H616">
        <v>5</v>
      </c>
      <c r="I616">
        <v>0.15</v>
      </c>
      <c r="J616">
        <v>505.75</v>
      </c>
      <c r="K616" t="s">
        <v>18</v>
      </c>
      <c r="L616" t="s">
        <v>23</v>
      </c>
      <c r="M616" t="b">
        <v>0</v>
      </c>
    </row>
    <row r="617" spans="1:13" x14ac:dyDescent="0.2">
      <c r="A617">
        <v>616</v>
      </c>
      <c r="B617" t="s">
        <v>19</v>
      </c>
      <c r="C617" s="2">
        <v>45422</v>
      </c>
      <c r="D617" t="s">
        <v>20</v>
      </c>
      <c r="E617" t="s">
        <v>15</v>
      </c>
      <c r="G617" t="s">
        <v>25</v>
      </c>
      <c r="H617">
        <v>3</v>
      </c>
      <c r="I617">
        <v>0</v>
      </c>
      <c r="J617">
        <v>269.85000000000002</v>
      </c>
      <c r="K617" t="s">
        <v>80</v>
      </c>
      <c r="L617" t="s">
        <v>23</v>
      </c>
      <c r="M617" t="b">
        <v>1</v>
      </c>
    </row>
    <row r="618" spans="1:13" x14ac:dyDescent="0.2">
      <c r="A618">
        <v>617</v>
      </c>
      <c r="B618" t="s">
        <v>74</v>
      </c>
      <c r="C618" s="1">
        <v>45344</v>
      </c>
      <c r="D618" t="s">
        <v>75</v>
      </c>
      <c r="E618" t="s">
        <v>76</v>
      </c>
      <c r="F618" t="s">
        <v>40</v>
      </c>
      <c r="G618" t="s">
        <v>17</v>
      </c>
      <c r="H618">
        <v>3</v>
      </c>
      <c r="I618" t="s">
        <v>60</v>
      </c>
      <c r="J618">
        <v>134.85</v>
      </c>
      <c r="K618" t="s">
        <v>52</v>
      </c>
      <c r="M618" t="s">
        <v>77</v>
      </c>
    </row>
    <row r="619" spans="1:13" x14ac:dyDescent="0.2">
      <c r="A619">
        <v>618</v>
      </c>
      <c r="B619" t="s">
        <v>42</v>
      </c>
      <c r="C619" s="2">
        <v>45596</v>
      </c>
      <c r="D619" t="s">
        <v>43</v>
      </c>
      <c r="E619" t="s">
        <v>15</v>
      </c>
      <c r="F619" t="s">
        <v>44</v>
      </c>
      <c r="H619">
        <v>1</v>
      </c>
      <c r="I619">
        <v>0.05</v>
      </c>
      <c r="J619">
        <v>122.55</v>
      </c>
      <c r="K619" t="s">
        <v>36</v>
      </c>
      <c r="L619" t="s">
        <v>63</v>
      </c>
      <c r="M619" t="b">
        <v>1</v>
      </c>
    </row>
    <row r="620" spans="1:13" x14ac:dyDescent="0.2">
      <c r="A620">
        <v>619</v>
      </c>
      <c r="B620" t="s">
        <v>88</v>
      </c>
      <c r="C620" s="1">
        <v>45656</v>
      </c>
      <c r="D620" t="s">
        <v>89</v>
      </c>
      <c r="E620" t="s">
        <v>33</v>
      </c>
      <c r="F620" t="s">
        <v>66</v>
      </c>
      <c r="G620" t="s">
        <v>67</v>
      </c>
      <c r="H620">
        <v>3</v>
      </c>
      <c r="I620">
        <v>0.15</v>
      </c>
      <c r="J620">
        <v>504.9</v>
      </c>
      <c r="K620" t="s">
        <v>27</v>
      </c>
      <c r="L620" t="s">
        <v>28</v>
      </c>
      <c r="M620" t="b">
        <v>0</v>
      </c>
    </row>
    <row r="621" spans="1:13" x14ac:dyDescent="0.2">
      <c r="A621">
        <v>620</v>
      </c>
      <c r="B621" t="s">
        <v>50</v>
      </c>
      <c r="C621" s="2">
        <v>45392</v>
      </c>
      <c r="D621" t="s">
        <v>25</v>
      </c>
      <c r="E621" t="s">
        <v>25</v>
      </c>
      <c r="F621" t="s">
        <v>66</v>
      </c>
      <c r="G621" t="s">
        <v>67</v>
      </c>
      <c r="H621">
        <v>5</v>
      </c>
      <c r="I621">
        <v>0</v>
      </c>
      <c r="J621">
        <v>349.75</v>
      </c>
      <c r="K621" t="s">
        <v>27</v>
      </c>
      <c r="L621" t="s">
        <v>41</v>
      </c>
      <c r="M621" t="s">
        <v>25</v>
      </c>
    </row>
    <row r="622" spans="1:13" x14ac:dyDescent="0.2">
      <c r="A622">
        <v>621</v>
      </c>
      <c r="B622" t="s">
        <v>64</v>
      </c>
      <c r="C622" s="2">
        <v>45426</v>
      </c>
      <c r="D622" t="s">
        <v>65</v>
      </c>
      <c r="E622" t="s">
        <v>33</v>
      </c>
      <c r="F622" t="s">
        <v>44</v>
      </c>
      <c r="H622">
        <v>4</v>
      </c>
      <c r="I622">
        <v>0</v>
      </c>
      <c r="J622">
        <v>299.8</v>
      </c>
      <c r="K622" t="s">
        <v>80</v>
      </c>
      <c r="L622" t="s">
        <v>55</v>
      </c>
      <c r="M622">
        <v>0</v>
      </c>
    </row>
    <row r="623" spans="1:13" x14ac:dyDescent="0.2">
      <c r="A623">
        <v>622</v>
      </c>
      <c r="B623" t="s">
        <v>68</v>
      </c>
      <c r="C623" s="2">
        <v>45625</v>
      </c>
      <c r="D623" t="s">
        <v>25</v>
      </c>
      <c r="E623" t="s">
        <v>25</v>
      </c>
      <c r="F623" t="s">
        <v>40</v>
      </c>
      <c r="G623" t="s">
        <v>17</v>
      </c>
      <c r="H623">
        <v>1</v>
      </c>
      <c r="I623">
        <v>0.2</v>
      </c>
      <c r="J623">
        <v>95.2</v>
      </c>
      <c r="K623" t="s">
        <v>52</v>
      </c>
      <c r="L623" t="s">
        <v>41</v>
      </c>
      <c r="M623" t="s">
        <v>25</v>
      </c>
    </row>
    <row r="624" spans="1:13" x14ac:dyDescent="0.2">
      <c r="A624">
        <v>623</v>
      </c>
      <c r="B624" t="s">
        <v>81</v>
      </c>
      <c r="C624" s="1">
        <v>45400</v>
      </c>
      <c r="D624" t="s">
        <v>82</v>
      </c>
      <c r="E624" t="s">
        <v>15</v>
      </c>
      <c r="F624" t="s">
        <v>66</v>
      </c>
      <c r="G624" t="s">
        <v>67</v>
      </c>
      <c r="H624">
        <v>4</v>
      </c>
      <c r="I624">
        <v>0</v>
      </c>
      <c r="J624">
        <v>319.8</v>
      </c>
      <c r="K624" t="s">
        <v>29</v>
      </c>
      <c r="L624" t="s">
        <v>63</v>
      </c>
      <c r="M624" t="s">
        <v>73</v>
      </c>
    </row>
    <row r="625" spans="1:13" x14ac:dyDescent="0.2">
      <c r="A625">
        <v>624</v>
      </c>
      <c r="B625" t="s">
        <v>85</v>
      </c>
      <c r="C625" s="2">
        <v>45251</v>
      </c>
      <c r="D625" t="s">
        <v>25</v>
      </c>
      <c r="E625" t="s">
        <v>25</v>
      </c>
      <c r="F625" t="s">
        <v>21</v>
      </c>
      <c r="G625" t="s">
        <v>22</v>
      </c>
      <c r="H625">
        <v>2</v>
      </c>
      <c r="I625">
        <v>0.2</v>
      </c>
      <c r="J625">
        <v>143.91999999999999</v>
      </c>
      <c r="K625" t="s">
        <v>27</v>
      </c>
      <c r="L625" t="s">
        <v>49</v>
      </c>
      <c r="M625" t="s">
        <v>25</v>
      </c>
    </row>
    <row r="626" spans="1:13" x14ac:dyDescent="0.2">
      <c r="A626">
        <v>625</v>
      </c>
      <c r="B626" t="s">
        <v>88</v>
      </c>
      <c r="C626" s="2">
        <v>45297</v>
      </c>
      <c r="D626" t="s">
        <v>89</v>
      </c>
      <c r="E626" t="s">
        <v>33</v>
      </c>
      <c r="F626" t="s">
        <v>34</v>
      </c>
      <c r="G626" t="s">
        <v>35</v>
      </c>
      <c r="H626">
        <v>5</v>
      </c>
      <c r="I626" t="s">
        <v>60</v>
      </c>
      <c r="J626">
        <v>990</v>
      </c>
      <c r="K626" t="s">
        <v>27</v>
      </c>
      <c r="L626" t="s">
        <v>28</v>
      </c>
      <c r="M626" t="b">
        <v>0</v>
      </c>
    </row>
    <row r="627" spans="1:13" x14ac:dyDescent="0.2">
      <c r="A627">
        <v>626</v>
      </c>
      <c r="B627" t="s">
        <v>42</v>
      </c>
      <c r="C627" s="1">
        <v>45146</v>
      </c>
      <c r="D627" t="s">
        <v>43</v>
      </c>
      <c r="E627" t="s">
        <v>15</v>
      </c>
      <c r="F627" t="s">
        <v>21</v>
      </c>
      <c r="G627" t="s">
        <v>22</v>
      </c>
      <c r="H627">
        <v>3</v>
      </c>
      <c r="I627">
        <v>0.25</v>
      </c>
      <c r="J627">
        <v>290.25</v>
      </c>
      <c r="K627" t="s">
        <v>80</v>
      </c>
      <c r="L627" t="s">
        <v>28</v>
      </c>
      <c r="M627" t="b">
        <v>1</v>
      </c>
    </row>
    <row r="628" spans="1:13" x14ac:dyDescent="0.2">
      <c r="A628">
        <v>627</v>
      </c>
      <c r="B628" t="s">
        <v>83</v>
      </c>
      <c r="C628" s="1">
        <v>45636</v>
      </c>
      <c r="D628" t="s">
        <v>25</v>
      </c>
      <c r="E628" t="s">
        <v>25</v>
      </c>
      <c r="F628" t="s">
        <v>21</v>
      </c>
      <c r="G628" t="s">
        <v>22</v>
      </c>
      <c r="H628">
        <v>4</v>
      </c>
      <c r="I628">
        <v>0</v>
      </c>
      <c r="J628">
        <v>199.8</v>
      </c>
      <c r="K628" t="s">
        <v>52</v>
      </c>
      <c r="L628" t="s">
        <v>28</v>
      </c>
      <c r="M628" t="s">
        <v>25</v>
      </c>
    </row>
    <row r="629" spans="1:13" x14ac:dyDescent="0.2">
      <c r="A629">
        <v>628</v>
      </c>
      <c r="B629" t="s">
        <v>88</v>
      </c>
      <c r="C629" s="2">
        <v>45438</v>
      </c>
      <c r="D629" t="s">
        <v>89</v>
      </c>
      <c r="E629" t="s">
        <v>33</v>
      </c>
      <c r="F629" t="s">
        <v>40</v>
      </c>
      <c r="G629" t="s">
        <v>17</v>
      </c>
      <c r="H629">
        <v>1</v>
      </c>
      <c r="I629">
        <v>0</v>
      </c>
      <c r="J629">
        <v>198</v>
      </c>
      <c r="K629" t="s">
        <v>18</v>
      </c>
      <c r="L629" t="s">
        <v>41</v>
      </c>
      <c r="M629" t="b">
        <v>0</v>
      </c>
    </row>
    <row r="630" spans="1:13" x14ac:dyDescent="0.2">
      <c r="A630">
        <v>629</v>
      </c>
      <c r="B630" t="s">
        <v>81</v>
      </c>
      <c r="C630" s="2">
        <v>45119</v>
      </c>
      <c r="D630" t="s">
        <v>82</v>
      </c>
      <c r="E630" t="s">
        <v>15</v>
      </c>
      <c r="F630" t="s">
        <v>44</v>
      </c>
      <c r="H630">
        <v>1</v>
      </c>
      <c r="I630">
        <v>0</v>
      </c>
      <c r="J630">
        <v>79.95</v>
      </c>
      <c r="K630" t="s">
        <v>36</v>
      </c>
      <c r="L630" t="s">
        <v>63</v>
      </c>
      <c r="M630" t="s">
        <v>73</v>
      </c>
    </row>
    <row r="631" spans="1:13" x14ac:dyDescent="0.2">
      <c r="A631">
        <v>630</v>
      </c>
      <c r="B631" t="s">
        <v>68</v>
      </c>
      <c r="C631" s="1">
        <v>45054</v>
      </c>
      <c r="D631" t="s">
        <v>69</v>
      </c>
      <c r="E631" t="s">
        <v>33</v>
      </c>
      <c r="F631" t="s">
        <v>40</v>
      </c>
      <c r="G631" t="s">
        <v>17</v>
      </c>
      <c r="H631">
        <v>1</v>
      </c>
      <c r="I631">
        <v>0.1</v>
      </c>
      <c r="J631">
        <v>107.1</v>
      </c>
      <c r="K631" t="s">
        <v>80</v>
      </c>
      <c r="L631" t="s">
        <v>30</v>
      </c>
      <c r="M631" t="b">
        <v>0</v>
      </c>
    </row>
    <row r="632" spans="1:13" x14ac:dyDescent="0.2">
      <c r="A632">
        <v>631</v>
      </c>
      <c r="B632" t="s">
        <v>24</v>
      </c>
      <c r="C632" s="2">
        <v>45536</v>
      </c>
      <c r="D632" t="s">
        <v>87</v>
      </c>
      <c r="E632" t="s">
        <v>39</v>
      </c>
      <c r="F632" t="s">
        <v>66</v>
      </c>
      <c r="G632" t="s">
        <v>67</v>
      </c>
      <c r="H632">
        <v>4</v>
      </c>
      <c r="I632">
        <v>0.15</v>
      </c>
      <c r="J632">
        <v>152.83000000000001</v>
      </c>
      <c r="K632" t="s">
        <v>80</v>
      </c>
      <c r="L632" t="s">
        <v>45</v>
      </c>
      <c r="M632" t="b">
        <v>1</v>
      </c>
    </row>
    <row r="633" spans="1:13" x14ac:dyDescent="0.2">
      <c r="A633">
        <v>632</v>
      </c>
      <c r="B633" t="s">
        <v>42</v>
      </c>
      <c r="C633" s="2">
        <v>45348</v>
      </c>
      <c r="D633" t="s">
        <v>43</v>
      </c>
      <c r="E633" t="s">
        <v>15</v>
      </c>
      <c r="F633" t="s">
        <v>16</v>
      </c>
      <c r="G633" t="s">
        <v>17</v>
      </c>
      <c r="H633">
        <v>1</v>
      </c>
      <c r="I633">
        <v>0</v>
      </c>
      <c r="J633">
        <v>129</v>
      </c>
      <c r="K633" t="s">
        <v>80</v>
      </c>
      <c r="M633" t="b">
        <v>1</v>
      </c>
    </row>
    <row r="634" spans="1:13" x14ac:dyDescent="0.2">
      <c r="A634">
        <v>633</v>
      </c>
      <c r="B634" t="s">
        <v>37</v>
      </c>
      <c r="C634" s="2">
        <v>45127</v>
      </c>
      <c r="D634" t="s">
        <v>38</v>
      </c>
      <c r="E634" t="s">
        <v>39</v>
      </c>
      <c r="F634" t="s">
        <v>21</v>
      </c>
      <c r="G634" t="s">
        <v>22</v>
      </c>
      <c r="H634">
        <v>2</v>
      </c>
      <c r="I634">
        <v>0.25</v>
      </c>
      <c r="J634">
        <v>97.43</v>
      </c>
      <c r="K634" t="s">
        <v>27</v>
      </c>
      <c r="L634" t="s">
        <v>28</v>
      </c>
      <c r="M634">
        <v>1</v>
      </c>
    </row>
    <row r="635" spans="1:13" x14ac:dyDescent="0.2">
      <c r="A635">
        <v>634</v>
      </c>
      <c r="B635" t="s">
        <v>19</v>
      </c>
      <c r="C635" s="2">
        <v>45197</v>
      </c>
      <c r="D635" t="s">
        <v>20</v>
      </c>
      <c r="E635" t="s">
        <v>15</v>
      </c>
      <c r="F635" t="s">
        <v>40</v>
      </c>
      <c r="G635" t="s">
        <v>17</v>
      </c>
      <c r="H635">
        <v>5</v>
      </c>
      <c r="I635">
        <v>0.1</v>
      </c>
      <c r="J635">
        <v>404.78</v>
      </c>
      <c r="K635" t="s">
        <v>36</v>
      </c>
      <c r="M635" t="b">
        <v>1</v>
      </c>
    </row>
    <row r="636" spans="1:13" x14ac:dyDescent="0.2">
      <c r="A636">
        <v>635</v>
      </c>
      <c r="B636" t="s">
        <v>78</v>
      </c>
      <c r="C636" s="2">
        <v>45512</v>
      </c>
      <c r="D636" t="s">
        <v>79</v>
      </c>
      <c r="E636" t="s">
        <v>48</v>
      </c>
      <c r="F636" t="s">
        <v>40</v>
      </c>
      <c r="G636" t="s">
        <v>17</v>
      </c>
      <c r="H636">
        <v>5</v>
      </c>
      <c r="I636">
        <v>0.15</v>
      </c>
      <c r="J636">
        <v>169.79</v>
      </c>
      <c r="K636" t="s">
        <v>18</v>
      </c>
      <c r="L636" t="s">
        <v>49</v>
      </c>
      <c r="M636">
        <v>1</v>
      </c>
    </row>
    <row r="637" spans="1:13" x14ac:dyDescent="0.2">
      <c r="A637">
        <v>636</v>
      </c>
      <c r="B637" t="s">
        <v>31</v>
      </c>
      <c r="C637" s="2">
        <v>45163</v>
      </c>
      <c r="D637" t="s">
        <v>32</v>
      </c>
      <c r="E637" t="s">
        <v>33</v>
      </c>
      <c r="F637" t="s">
        <v>21</v>
      </c>
      <c r="G637" t="s">
        <v>22</v>
      </c>
      <c r="H637">
        <v>4</v>
      </c>
      <c r="I637">
        <v>0.15</v>
      </c>
      <c r="J637">
        <v>271.83</v>
      </c>
      <c r="K637" t="s">
        <v>29</v>
      </c>
      <c r="L637" t="s">
        <v>45</v>
      </c>
      <c r="M637" t="b">
        <v>0</v>
      </c>
    </row>
    <row r="638" spans="1:13" x14ac:dyDescent="0.2">
      <c r="A638">
        <v>637</v>
      </c>
      <c r="B638" t="s">
        <v>88</v>
      </c>
      <c r="C638" s="2">
        <v>45374</v>
      </c>
      <c r="D638" t="s">
        <v>25</v>
      </c>
      <c r="E638" t="s">
        <v>25</v>
      </c>
      <c r="F638" t="s">
        <v>66</v>
      </c>
      <c r="G638" t="s">
        <v>67</v>
      </c>
      <c r="H638">
        <v>2</v>
      </c>
      <c r="I638">
        <v>0</v>
      </c>
      <c r="J638">
        <v>396</v>
      </c>
      <c r="K638" t="s">
        <v>27</v>
      </c>
      <c r="L638" t="s">
        <v>55</v>
      </c>
      <c r="M638" t="s">
        <v>25</v>
      </c>
    </row>
    <row r="639" spans="1:13" x14ac:dyDescent="0.2">
      <c r="A639">
        <v>638</v>
      </c>
      <c r="B639" t="s">
        <v>24</v>
      </c>
      <c r="C639" s="2">
        <v>45154</v>
      </c>
      <c r="D639" t="s">
        <v>87</v>
      </c>
      <c r="E639" t="s">
        <v>39</v>
      </c>
      <c r="F639" t="s">
        <v>66</v>
      </c>
      <c r="G639" t="s">
        <v>67</v>
      </c>
      <c r="H639">
        <v>3</v>
      </c>
      <c r="I639">
        <v>0</v>
      </c>
      <c r="J639">
        <v>134.85</v>
      </c>
      <c r="K639" t="s">
        <v>36</v>
      </c>
      <c r="M639" t="b">
        <v>1</v>
      </c>
    </row>
    <row r="640" spans="1:13" x14ac:dyDescent="0.2">
      <c r="A640">
        <v>639</v>
      </c>
      <c r="B640" t="s">
        <v>13</v>
      </c>
      <c r="C640" s="2">
        <v>45537</v>
      </c>
      <c r="D640" t="s">
        <v>14</v>
      </c>
      <c r="E640" t="s">
        <v>15</v>
      </c>
      <c r="F640" t="s">
        <v>66</v>
      </c>
      <c r="G640" t="s">
        <v>67</v>
      </c>
      <c r="H640">
        <v>5</v>
      </c>
      <c r="I640">
        <v>0</v>
      </c>
      <c r="J640">
        <v>99.95</v>
      </c>
      <c r="K640" t="s">
        <v>29</v>
      </c>
      <c r="L640" t="s">
        <v>55</v>
      </c>
      <c r="M640">
        <v>0</v>
      </c>
    </row>
    <row r="641" spans="1:13" x14ac:dyDescent="0.2">
      <c r="A641">
        <v>640</v>
      </c>
      <c r="B641" t="s">
        <v>13</v>
      </c>
      <c r="C641" s="2">
        <v>45005</v>
      </c>
      <c r="D641" t="s">
        <v>14</v>
      </c>
      <c r="E641" t="s">
        <v>15</v>
      </c>
      <c r="F641" t="s">
        <v>44</v>
      </c>
      <c r="H641">
        <v>4</v>
      </c>
      <c r="I641">
        <v>0</v>
      </c>
      <c r="J641">
        <v>79.959999999999994</v>
      </c>
      <c r="K641" t="s">
        <v>36</v>
      </c>
      <c r="M641">
        <v>0</v>
      </c>
    </row>
    <row r="642" spans="1:13" x14ac:dyDescent="0.2">
      <c r="A642">
        <v>641</v>
      </c>
      <c r="B642" t="s">
        <v>46</v>
      </c>
      <c r="C642" s="1">
        <v>45541</v>
      </c>
      <c r="D642" t="s">
        <v>47</v>
      </c>
      <c r="E642" t="s">
        <v>48</v>
      </c>
      <c r="G642" t="s">
        <v>25</v>
      </c>
      <c r="H642">
        <v>3</v>
      </c>
      <c r="I642">
        <v>0.15</v>
      </c>
      <c r="J642">
        <v>127.37</v>
      </c>
      <c r="K642" t="s">
        <v>80</v>
      </c>
      <c r="L642" t="s">
        <v>41</v>
      </c>
      <c r="M642">
        <v>0</v>
      </c>
    </row>
    <row r="643" spans="1:13" x14ac:dyDescent="0.2">
      <c r="A643">
        <v>642</v>
      </c>
      <c r="B643" t="s">
        <v>68</v>
      </c>
      <c r="C643" s="2">
        <v>45068</v>
      </c>
      <c r="D643" t="s">
        <v>69</v>
      </c>
      <c r="E643" t="s">
        <v>33</v>
      </c>
      <c r="F643" t="s">
        <v>34</v>
      </c>
      <c r="G643" t="s">
        <v>35</v>
      </c>
      <c r="H643">
        <v>1</v>
      </c>
      <c r="I643">
        <v>0.05</v>
      </c>
      <c r="J643">
        <v>113.05</v>
      </c>
      <c r="K643" t="s">
        <v>52</v>
      </c>
      <c r="L643" t="s">
        <v>23</v>
      </c>
      <c r="M643" t="b">
        <v>0</v>
      </c>
    </row>
    <row r="644" spans="1:13" x14ac:dyDescent="0.2">
      <c r="A644">
        <v>643</v>
      </c>
      <c r="B644" t="s">
        <v>83</v>
      </c>
      <c r="C644" s="2">
        <v>45104</v>
      </c>
      <c r="D644" t="s">
        <v>84</v>
      </c>
      <c r="E644" t="s">
        <v>48</v>
      </c>
      <c r="F644" t="s">
        <v>44</v>
      </c>
      <c r="H644">
        <v>4</v>
      </c>
      <c r="I644">
        <v>0.2</v>
      </c>
      <c r="J644">
        <v>159.84</v>
      </c>
      <c r="K644" t="s">
        <v>52</v>
      </c>
      <c r="L644" t="s">
        <v>63</v>
      </c>
      <c r="M644">
        <v>0</v>
      </c>
    </row>
    <row r="645" spans="1:13" x14ac:dyDescent="0.2">
      <c r="A645">
        <v>644</v>
      </c>
      <c r="B645" t="s">
        <v>85</v>
      </c>
      <c r="C645" s="2">
        <v>45564</v>
      </c>
      <c r="D645" t="s">
        <v>25</v>
      </c>
      <c r="E645" t="s">
        <v>25</v>
      </c>
      <c r="F645" t="s">
        <v>44</v>
      </c>
      <c r="H645">
        <v>4</v>
      </c>
      <c r="I645">
        <v>0.2</v>
      </c>
      <c r="J645">
        <v>287.83999999999997</v>
      </c>
      <c r="K645" t="s">
        <v>52</v>
      </c>
      <c r="L645" t="s">
        <v>30</v>
      </c>
      <c r="M645" t="s">
        <v>25</v>
      </c>
    </row>
    <row r="646" spans="1:13" x14ac:dyDescent="0.2">
      <c r="A646">
        <v>645</v>
      </c>
      <c r="B646" t="s">
        <v>50</v>
      </c>
      <c r="C646" s="2">
        <v>45044</v>
      </c>
      <c r="D646" t="s">
        <v>51</v>
      </c>
      <c r="E646" t="s">
        <v>15</v>
      </c>
      <c r="F646" t="s">
        <v>21</v>
      </c>
      <c r="G646" t="s">
        <v>22</v>
      </c>
      <c r="H646">
        <v>5</v>
      </c>
      <c r="I646">
        <v>0.15</v>
      </c>
      <c r="J646">
        <v>297.29000000000002</v>
      </c>
      <c r="K646" t="s">
        <v>27</v>
      </c>
      <c r="L646" t="s">
        <v>28</v>
      </c>
      <c r="M646">
        <v>0</v>
      </c>
    </row>
    <row r="647" spans="1:13" x14ac:dyDescent="0.2">
      <c r="A647">
        <v>646</v>
      </c>
      <c r="B647" t="s">
        <v>88</v>
      </c>
      <c r="C647" s="2">
        <v>45508</v>
      </c>
      <c r="D647" t="s">
        <v>89</v>
      </c>
      <c r="E647" t="s">
        <v>33</v>
      </c>
      <c r="F647" t="s">
        <v>26</v>
      </c>
      <c r="G647" t="s">
        <v>22</v>
      </c>
      <c r="H647">
        <v>1</v>
      </c>
      <c r="I647">
        <v>0.15</v>
      </c>
      <c r="J647">
        <v>168.3</v>
      </c>
      <c r="K647" t="s">
        <v>29</v>
      </c>
      <c r="L647" t="s">
        <v>63</v>
      </c>
      <c r="M647" t="b">
        <v>0</v>
      </c>
    </row>
    <row r="648" spans="1:13" x14ac:dyDescent="0.2">
      <c r="A648">
        <v>647</v>
      </c>
      <c r="B648" t="s">
        <v>81</v>
      </c>
      <c r="C648" s="2">
        <v>45129</v>
      </c>
      <c r="D648" t="s">
        <v>82</v>
      </c>
      <c r="E648" t="s">
        <v>15</v>
      </c>
      <c r="G648" t="s">
        <v>25</v>
      </c>
      <c r="H648">
        <v>4</v>
      </c>
      <c r="I648">
        <v>0.2</v>
      </c>
      <c r="J648">
        <v>255.84</v>
      </c>
      <c r="K648" t="s">
        <v>52</v>
      </c>
      <c r="L648" t="s">
        <v>49</v>
      </c>
      <c r="M648" t="s">
        <v>73</v>
      </c>
    </row>
    <row r="649" spans="1:13" x14ac:dyDescent="0.2">
      <c r="A649">
        <v>648</v>
      </c>
      <c r="B649" t="s">
        <v>81</v>
      </c>
      <c r="C649" s="2">
        <v>45516</v>
      </c>
      <c r="D649" t="s">
        <v>82</v>
      </c>
      <c r="E649" t="s">
        <v>15</v>
      </c>
      <c r="F649" t="s">
        <v>34</v>
      </c>
      <c r="G649" t="s">
        <v>35</v>
      </c>
      <c r="H649">
        <v>1</v>
      </c>
      <c r="I649">
        <v>0.1</v>
      </c>
      <c r="J649">
        <v>71.959999999999994</v>
      </c>
      <c r="K649" t="s">
        <v>36</v>
      </c>
      <c r="M649" t="s">
        <v>73</v>
      </c>
    </row>
    <row r="650" spans="1:13" x14ac:dyDescent="0.2">
      <c r="A650">
        <v>649</v>
      </c>
      <c r="B650" t="s">
        <v>83</v>
      </c>
      <c r="C650" s="2">
        <v>45251</v>
      </c>
      <c r="D650" t="s">
        <v>84</v>
      </c>
      <c r="E650" t="s">
        <v>48</v>
      </c>
      <c r="F650" t="s">
        <v>16</v>
      </c>
      <c r="G650" t="s">
        <v>17</v>
      </c>
      <c r="H650">
        <v>1</v>
      </c>
      <c r="I650">
        <v>0.2</v>
      </c>
      <c r="J650">
        <v>39.96</v>
      </c>
      <c r="K650" t="s">
        <v>52</v>
      </c>
      <c r="L650" t="s">
        <v>30</v>
      </c>
      <c r="M650">
        <v>0</v>
      </c>
    </row>
    <row r="651" spans="1:13" x14ac:dyDescent="0.2">
      <c r="A651">
        <v>650</v>
      </c>
      <c r="B651" t="s">
        <v>68</v>
      </c>
      <c r="C651" s="2">
        <v>44975</v>
      </c>
      <c r="D651" t="s">
        <v>69</v>
      </c>
      <c r="E651" t="s">
        <v>33</v>
      </c>
      <c r="F651" t="s">
        <v>16</v>
      </c>
      <c r="G651" t="s">
        <v>17</v>
      </c>
      <c r="H651">
        <v>5</v>
      </c>
      <c r="I651">
        <v>0</v>
      </c>
      <c r="J651">
        <v>595</v>
      </c>
      <c r="K651" t="s">
        <v>18</v>
      </c>
      <c r="L651" t="s">
        <v>23</v>
      </c>
      <c r="M651" t="b">
        <v>0</v>
      </c>
    </row>
    <row r="652" spans="1:13" x14ac:dyDescent="0.2">
      <c r="A652">
        <v>651</v>
      </c>
      <c r="B652" t="s">
        <v>58</v>
      </c>
      <c r="C652" s="2">
        <v>45238</v>
      </c>
      <c r="D652" t="s">
        <v>59</v>
      </c>
      <c r="E652" t="s">
        <v>15</v>
      </c>
      <c r="F652" t="s">
        <v>26</v>
      </c>
      <c r="G652" t="s">
        <v>22</v>
      </c>
      <c r="H652">
        <v>3</v>
      </c>
      <c r="I652">
        <v>0</v>
      </c>
      <c r="J652">
        <v>179.85</v>
      </c>
      <c r="K652" t="s">
        <v>27</v>
      </c>
      <c r="L652" t="s">
        <v>55</v>
      </c>
      <c r="M652">
        <v>1</v>
      </c>
    </row>
    <row r="653" spans="1:13" x14ac:dyDescent="0.2">
      <c r="A653">
        <v>652</v>
      </c>
      <c r="B653" t="s">
        <v>61</v>
      </c>
      <c r="C653" s="1">
        <v>45052</v>
      </c>
      <c r="D653" t="s">
        <v>62</v>
      </c>
      <c r="E653" t="s">
        <v>33</v>
      </c>
      <c r="F653" t="s">
        <v>40</v>
      </c>
      <c r="G653" t="s">
        <v>17</v>
      </c>
      <c r="H653">
        <v>5</v>
      </c>
      <c r="I653">
        <v>0.2</v>
      </c>
      <c r="J653">
        <v>139.96</v>
      </c>
      <c r="K653" t="s">
        <v>36</v>
      </c>
      <c r="L653" t="s">
        <v>41</v>
      </c>
      <c r="M653">
        <v>0</v>
      </c>
    </row>
    <row r="654" spans="1:13" x14ac:dyDescent="0.2">
      <c r="A654">
        <v>653</v>
      </c>
      <c r="B654" t="s">
        <v>42</v>
      </c>
      <c r="C654" s="2">
        <v>45006</v>
      </c>
      <c r="D654" t="s">
        <v>43</v>
      </c>
      <c r="E654" t="s">
        <v>15</v>
      </c>
      <c r="F654" t="s">
        <v>53</v>
      </c>
      <c r="G654" t="s">
        <v>54</v>
      </c>
      <c r="H654">
        <v>3</v>
      </c>
      <c r="J654">
        <v>387</v>
      </c>
      <c r="K654" t="s">
        <v>36</v>
      </c>
      <c r="L654" t="s">
        <v>63</v>
      </c>
      <c r="M654" t="b">
        <v>1</v>
      </c>
    </row>
    <row r="655" spans="1:13" x14ac:dyDescent="0.2">
      <c r="A655">
        <v>654</v>
      </c>
      <c r="B655" t="s">
        <v>50</v>
      </c>
      <c r="C655" s="2">
        <v>45151</v>
      </c>
      <c r="D655" t="s">
        <v>25</v>
      </c>
      <c r="E655" t="s">
        <v>25</v>
      </c>
      <c r="F655" t="s">
        <v>40</v>
      </c>
      <c r="G655" t="s">
        <v>17</v>
      </c>
      <c r="H655">
        <v>4</v>
      </c>
      <c r="I655">
        <v>0</v>
      </c>
      <c r="J655">
        <v>279.8</v>
      </c>
      <c r="K655" t="s">
        <v>18</v>
      </c>
      <c r="L655" t="s">
        <v>55</v>
      </c>
      <c r="M655" t="s">
        <v>25</v>
      </c>
    </row>
    <row r="656" spans="1:13" x14ac:dyDescent="0.2">
      <c r="A656">
        <v>655</v>
      </c>
      <c r="B656" t="s">
        <v>61</v>
      </c>
      <c r="C656" s="2">
        <v>44943</v>
      </c>
      <c r="D656" t="s">
        <v>62</v>
      </c>
      <c r="E656" t="s">
        <v>33</v>
      </c>
      <c r="F656" t="s">
        <v>16</v>
      </c>
      <c r="G656" t="s">
        <v>17</v>
      </c>
      <c r="H656">
        <v>4</v>
      </c>
      <c r="I656">
        <v>0</v>
      </c>
      <c r="J656">
        <v>139.96</v>
      </c>
      <c r="K656" t="s">
        <v>18</v>
      </c>
      <c r="L656" t="s">
        <v>55</v>
      </c>
      <c r="M656">
        <v>0</v>
      </c>
    </row>
    <row r="657" spans="1:13" x14ac:dyDescent="0.2">
      <c r="A657">
        <v>656</v>
      </c>
      <c r="B657" t="s">
        <v>37</v>
      </c>
      <c r="C657" s="2">
        <v>45268</v>
      </c>
      <c r="D657" t="s">
        <v>38</v>
      </c>
      <c r="E657" t="s">
        <v>39</v>
      </c>
      <c r="F657" t="s">
        <v>21</v>
      </c>
      <c r="G657" t="s">
        <v>22</v>
      </c>
      <c r="H657">
        <v>2</v>
      </c>
      <c r="I657">
        <v>0.2</v>
      </c>
      <c r="J657">
        <v>103.92</v>
      </c>
      <c r="K657" t="s">
        <v>80</v>
      </c>
      <c r="L657" t="s">
        <v>28</v>
      </c>
      <c r="M657">
        <v>1</v>
      </c>
    </row>
    <row r="658" spans="1:13" x14ac:dyDescent="0.2">
      <c r="A658">
        <v>657</v>
      </c>
      <c r="B658" t="s">
        <v>78</v>
      </c>
      <c r="C658" s="2">
        <v>45624</v>
      </c>
      <c r="D658" t="s">
        <v>79</v>
      </c>
      <c r="E658" t="s">
        <v>48</v>
      </c>
      <c r="F658" t="s">
        <v>53</v>
      </c>
      <c r="G658" t="s">
        <v>54</v>
      </c>
      <c r="H658">
        <v>5</v>
      </c>
      <c r="I658">
        <v>0</v>
      </c>
      <c r="J658">
        <v>199.75</v>
      </c>
      <c r="K658" t="s">
        <v>27</v>
      </c>
      <c r="L658" t="s">
        <v>28</v>
      </c>
      <c r="M658">
        <v>1</v>
      </c>
    </row>
    <row r="659" spans="1:13" x14ac:dyDescent="0.2">
      <c r="A659">
        <v>658</v>
      </c>
      <c r="B659" t="s">
        <v>74</v>
      </c>
      <c r="C659" s="2">
        <v>45635</v>
      </c>
      <c r="D659" t="s">
        <v>75</v>
      </c>
      <c r="E659" t="s">
        <v>76</v>
      </c>
      <c r="F659" t="s">
        <v>21</v>
      </c>
      <c r="G659" t="s">
        <v>22</v>
      </c>
      <c r="H659">
        <v>4</v>
      </c>
      <c r="I659">
        <v>0</v>
      </c>
      <c r="J659">
        <v>179.8</v>
      </c>
      <c r="K659" t="s">
        <v>36</v>
      </c>
      <c r="M659" t="s">
        <v>77</v>
      </c>
    </row>
    <row r="660" spans="1:13" x14ac:dyDescent="0.2">
      <c r="A660">
        <v>659</v>
      </c>
      <c r="B660" t="s">
        <v>50</v>
      </c>
      <c r="C660" s="2">
        <v>44998</v>
      </c>
      <c r="D660" t="s">
        <v>25</v>
      </c>
      <c r="E660" t="s">
        <v>25</v>
      </c>
      <c r="F660" t="s">
        <v>44</v>
      </c>
      <c r="H660">
        <v>2</v>
      </c>
      <c r="I660" t="s">
        <v>60</v>
      </c>
      <c r="J660">
        <v>139.9</v>
      </c>
      <c r="K660" t="s">
        <v>36</v>
      </c>
      <c r="L660" t="s">
        <v>49</v>
      </c>
      <c r="M660" t="s">
        <v>25</v>
      </c>
    </row>
    <row r="661" spans="1:13" x14ac:dyDescent="0.2">
      <c r="A661">
        <v>660</v>
      </c>
      <c r="B661" t="s">
        <v>13</v>
      </c>
      <c r="C661" s="2">
        <v>44928</v>
      </c>
      <c r="D661" t="s">
        <v>14</v>
      </c>
      <c r="E661" t="s">
        <v>15</v>
      </c>
      <c r="F661" t="s">
        <v>66</v>
      </c>
      <c r="G661" t="s">
        <v>67</v>
      </c>
      <c r="H661">
        <v>5</v>
      </c>
      <c r="I661" t="s">
        <v>70</v>
      </c>
      <c r="J661">
        <v>99.95</v>
      </c>
      <c r="K661" t="s">
        <v>80</v>
      </c>
      <c r="L661" t="s">
        <v>41</v>
      </c>
      <c r="M661">
        <v>0</v>
      </c>
    </row>
    <row r="662" spans="1:13" x14ac:dyDescent="0.2">
      <c r="A662">
        <v>661</v>
      </c>
      <c r="B662" t="s">
        <v>46</v>
      </c>
      <c r="C662" s="1">
        <v>45286</v>
      </c>
      <c r="D662" t="s">
        <v>47</v>
      </c>
      <c r="E662" t="s">
        <v>48</v>
      </c>
      <c r="F662" t="s">
        <v>16</v>
      </c>
      <c r="G662" t="s">
        <v>17</v>
      </c>
      <c r="H662">
        <v>3</v>
      </c>
      <c r="I662" t="s">
        <v>70</v>
      </c>
      <c r="J662">
        <v>149.85</v>
      </c>
      <c r="K662" t="s">
        <v>29</v>
      </c>
      <c r="L662" t="s">
        <v>41</v>
      </c>
      <c r="M662">
        <v>0</v>
      </c>
    </row>
    <row r="663" spans="1:13" x14ac:dyDescent="0.2">
      <c r="A663">
        <v>662</v>
      </c>
      <c r="B663" t="s">
        <v>46</v>
      </c>
      <c r="C663" s="1">
        <v>45152</v>
      </c>
      <c r="D663" t="s">
        <v>47</v>
      </c>
      <c r="E663" t="s">
        <v>48</v>
      </c>
      <c r="F663" t="s">
        <v>44</v>
      </c>
      <c r="H663">
        <v>3</v>
      </c>
      <c r="I663">
        <v>0</v>
      </c>
      <c r="J663">
        <v>149.85</v>
      </c>
      <c r="K663" t="s">
        <v>29</v>
      </c>
      <c r="L663" t="s">
        <v>45</v>
      </c>
      <c r="M663">
        <v>0</v>
      </c>
    </row>
    <row r="664" spans="1:13" x14ac:dyDescent="0.2">
      <c r="A664">
        <v>663</v>
      </c>
      <c r="B664" t="s">
        <v>46</v>
      </c>
      <c r="C664" s="2">
        <v>45622</v>
      </c>
      <c r="D664" t="s">
        <v>25</v>
      </c>
      <c r="E664" t="s">
        <v>25</v>
      </c>
      <c r="F664" t="s">
        <v>21</v>
      </c>
      <c r="G664" t="s">
        <v>22</v>
      </c>
      <c r="H664">
        <v>3</v>
      </c>
      <c r="I664">
        <v>0.25</v>
      </c>
      <c r="J664">
        <v>112.39</v>
      </c>
      <c r="K664" t="s">
        <v>52</v>
      </c>
      <c r="L664" t="s">
        <v>45</v>
      </c>
      <c r="M664" t="s">
        <v>25</v>
      </c>
    </row>
    <row r="665" spans="1:13" x14ac:dyDescent="0.2">
      <c r="A665">
        <v>664</v>
      </c>
      <c r="B665" t="s">
        <v>85</v>
      </c>
      <c r="C665" s="2">
        <v>44935</v>
      </c>
      <c r="D665" t="s">
        <v>86</v>
      </c>
      <c r="E665" t="s">
        <v>76</v>
      </c>
      <c r="F665" t="s">
        <v>16</v>
      </c>
      <c r="G665" t="s">
        <v>17</v>
      </c>
      <c r="H665">
        <v>4</v>
      </c>
      <c r="I665">
        <v>0.15</v>
      </c>
      <c r="J665">
        <v>305.83</v>
      </c>
      <c r="K665" t="s">
        <v>27</v>
      </c>
      <c r="L665" t="s">
        <v>30</v>
      </c>
      <c r="M665" t="s">
        <v>73</v>
      </c>
    </row>
    <row r="666" spans="1:13" x14ac:dyDescent="0.2">
      <c r="A666">
        <v>665</v>
      </c>
      <c r="B666" t="s">
        <v>50</v>
      </c>
      <c r="C666" s="2">
        <v>44968</v>
      </c>
      <c r="D666" t="s">
        <v>51</v>
      </c>
      <c r="E666" t="s">
        <v>15</v>
      </c>
      <c r="F666" t="s">
        <v>44</v>
      </c>
      <c r="H666">
        <v>1</v>
      </c>
      <c r="I666">
        <v>0.1</v>
      </c>
      <c r="J666">
        <v>62.96</v>
      </c>
      <c r="K666" t="s">
        <v>29</v>
      </c>
      <c r="M666">
        <v>0</v>
      </c>
    </row>
    <row r="667" spans="1:13" x14ac:dyDescent="0.2">
      <c r="A667">
        <v>666</v>
      </c>
      <c r="B667" t="s">
        <v>50</v>
      </c>
      <c r="C667" s="2">
        <v>45204</v>
      </c>
      <c r="D667" t="s">
        <v>51</v>
      </c>
      <c r="E667" t="s">
        <v>15</v>
      </c>
      <c r="F667" t="s">
        <v>40</v>
      </c>
      <c r="G667" t="s">
        <v>17</v>
      </c>
      <c r="H667">
        <v>5</v>
      </c>
      <c r="I667">
        <v>0</v>
      </c>
      <c r="J667">
        <v>349.75</v>
      </c>
      <c r="K667" t="s">
        <v>36</v>
      </c>
      <c r="L667" t="s">
        <v>55</v>
      </c>
      <c r="M667">
        <v>0</v>
      </c>
    </row>
    <row r="668" spans="1:13" x14ac:dyDescent="0.2">
      <c r="A668">
        <v>667</v>
      </c>
      <c r="B668" t="s">
        <v>85</v>
      </c>
      <c r="C668" s="2">
        <v>45538</v>
      </c>
      <c r="D668" t="s">
        <v>86</v>
      </c>
      <c r="E668" t="s">
        <v>76</v>
      </c>
      <c r="F668" t="s">
        <v>21</v>
      </c>
      <c r="G668" t="s">
        <v>22</v>
      </c>
      <c r="H668">
        <v>4</v>
      </c>
      <c r="I668">
        <v>0</v>
      </c>
      <c r="J668">
        <v>359.8</v>
      </c>
      <c r="K668" t="s">
        <v>52</v>
      </c>
      <c r="L668" t="s">
        <v>30</v>
      </c>
      <c r="M668" t="s">
        <v>73</v>
      </c>
    </row>
    <row r="669" spans="1:13" x14ac:dyDescent="0.2">
      <c r="A669">
        <v>668</v>
      </c>
      <c r="B669" t="s">
        <v>50</v>
      </c>
      <c r="C669" s="2">
        <v>45570</v>
      </c>
      <c r="D669" t="s">
        <v>51</v>
      </c>
      <c r="E669" t="s">
        <v>15</v>
      </c>
      <c r="F669" t="s">
        <v>34</v>
      </c>
      <c r="G669" t="s">
        <v>35</v>
      </c>
      <c r="H669">
        <v>3</v>
      </c>
      <c r="I669">
        <v>0</v>
      </c>
      <c r="J669">
        <v>209.85</v>
      </c>
      <c r="K669" t="s">
        <v>80</v>
      </c>
      <c r="L669" t="s">
        <v>30</v>
      </c>
      <c r="M669">
        <v>0</v>
      </c>
    </row>
    <row r="670" spans="1:13" x14ac:dyDescent="0.2">
      <c r="A670">
        <v>669</v>
      </c>
      <c r="B670" t="s">
        <v>24</v>
      </c>
      <c r="C670" s="2">
        <v>45347</v>
      </c>
      <c r="D670" t="s">
        <v>87</v>
      </c>
      <c r="E670" t="s">
        <v>39</v>
      </c>
      <c r="G670" t="s">
        <v>25</v>
      </c>
      <c r="H670">
        <v>3</v>
      </c>
      <c r="I670">
        <v>0.2</v>
      </c>
      <c r="J670">
        <v>107.88</v>
      </c>
      <c r="K670" t="s">
        <v>29</v>
      </c>
      <c r="L670" t="s">
        <v>41</v>
      </c>
      <c r="M670" t="b">
        <v>1</v>
      </c>
    </row>
    <row r="671" spans="1:13" x14ac:dyDescent="0.2">
      <c r="A671">
        <v>670</v>
      </c>
      <c r="B671" t="s">
        <v>61</v>
      </c>
      <c r="C671" s="2">
        <v>45055</v>
      </c>
      <c r="D671" t="s">
        <v>62</v>
      </c>
      <c r="E671" t="s">
        <v>33</v>
      </c>
      <c r="F671" t="s">
        <v>40</v>
      </c>
      <c r="G671" t="s">
        <v>17</v>
      </c>
      <c r="H671">
        <v>5</v>
      </c>
      <c r="I671">
        <v>0.1</v>
      </c>
      <c r="J671">
        <v>157.46</v>
      </c>
      <c r="K671" t="s">
        <v>29</v>
      </c>
      <c r="L671" t="s">
        <v>23</v>
      </c>
      <c r="M671">
        <v>0</v>
      </c>
    </row>
    <row r="672" spans="1:13" x14ac:dyDescent="0.2">
      <c r="A672">
        <v>671</v>
      </c>
      <c r="B672" t="s">
        <v>88</v>
      </c>
      <c r="C672" s="1">
        <v>45420</v>
      </c>
      <c r="D672" t="s">
        <v>89</v>
      </c>
      <c r="E672" t="s">
        <v>33</v>
      </c>
      <c r="F672" t="s">
        <v>16</v>
      </c>
      <c r="G672" t="s">
        <v>17</v>
      </c>
      <c r="H672">
        <v>5</v>
      </c>
      <c r="I672">
        <v>0</v>
      </c>
      <c r="J672">
        <v>990</v>
      </c>
      <c r="K672" t="s">
        <v>80</v>
      </c>
      <c r="M672" t="b">
        <v>0</v>
      </c>
    </row>
    <row r="673" spans="1:13" x14ac:dyDescent="0.2">
      <c r="A673">
        <v>672</v>
      </c>
      <c r="B673" t="s">
        <v>56</v>
      </c>
      <c r="C673" s="2">
        <v>45582</v>
      </c>
      <c r="D673" t="s">
        <v>57</v>
      </c>
      <c r="E673" t="s">
        <v>48</v>
      </c>
      <c r="F673" t="s">
        <v>66</v>
      </c>
      <c r="G673" t="s">
        <v>67</v>
      </c>
      <c r="H673">
        <v>4</v>
      </c>
      <c r="I673" t="s">
        <v>60</v>
      </c>
      <c r="J673">
        <v>340</v>
      </c>
      <c r="K673" t="s">
        <v>36</v>
      </c>
      <c r="M673">
        <v>1</v>
      </c>
    </row>
    <row r="674" spans="1:13" x14ac:dyDescent="0.2">
      <c r="A674">
        <v>673</v>
      </c>
      <c r="B674" t="s">
        <v>78</v>
      </c>
      <c r="C674" s="2">
        <v>45412</v>
      </c>
      <c r="D674" t="s">
        <v>79</v>
      </c>
      <c r="E674" t="s">
        <v>48</v>
      </c>
      <c r="F674" t="s">
        <v>16</v>
      </c>
      <c r="G674" t="s">
        <v>17</v>
      </c>
      <c r="H674">
        <v>1</v>
      </c>
      <c r="I674">
        <v>0.05</v>
      </c>
      <c r="J674">
        <v>37.950000000000003</v>
      </c>
      <c r="K674" t="s">
        <v>27</v>
      </c>
      <c r="L674" t="s">
        <v>63</v>
      </c>
      <c r="M674">
        <v>1</v>
      </c>
    </row>
    <row r="675" spans="1:13" x14ac:dyDescent="0.2">
      <c r="A675">
        <v>674</v>
      </c>
      <c r="B675" t="s">
        <v>71</v>
      </c>
      <c r="C675" s="2">
        <v>45578</v>
      </c>
      <c r="D675" t="s">
        <v>72</v>
      </c>
      <c r="E675" t="s">
        <v>33</v>
      </c>
      <c r="F675" t="s">
        <v>53</v>
      </c>
      <c r="G675" t="s">
        <v>54</v>
      </c>
      <c r="H675">
        <v>4</v>
      </c>
      <c r="I675">
        <v>0</v>
      </c>
      <c r="J675">
        <v>239.8</v>
      </c>
      <c r="K675" t="s">
        <v>18</v>
      </c>
      <c r="L675" t="s">
        <v>28</v>
      </c>
      <c r="M675" t="s">
        <v>73</v>
      </c>
    </row>
    <row r="676" spans="1:13" x14ac:dyDescent="0.2">
      <c r="A676">
        <v>675</v>
      </c>
      <c r="B676" t="s">
        <v>81</v>
      </c>
      <c r="C676" s="1">
        <v>45322</v>
      </c>
      <c r="D676" t="s">
        <v>82</v>
      </c>
      <c r="E676" t="s">
        <v>15</v>
      </c>
      <c r="F676" t="s">
        <v>16</v>
      </c>
      <c r="G676" t="s">
        <v>17</v>
      </c>
      <c r="H676">
        <v>4</v>
      </c>
      <c r="I676">
        <v>0.15</v>
      </c>
      <c r="J676">
        <v>271.83</v>
      </c>
      <c r="K676" t="s">
        <v>29</v>
      </c>
      <c r="L676" t="s">
        <v>30</v>
      </c>
      <c r="M676" t="s">
        <v>73</v>
      </c>
    </row>
    <row r="677" spans="1:13" x14ac:dyDescent="0.2">
      <c r="A677">
        <v>676</v>
      </c>
      <c r="B677" t="s">
        <v>71</v>
      </c>
      <c r="C677" s="1">
        <v>45406</v>
      </c>
      <c r="D677" t="s">
        <v>72</v>
      </c>
      <c r="E677" t="s">
        <v>33</v>
      </c>
      <c r="F677" t="s">
        <v>26</v>
      </c>
      <c r="G677" t="s">
        <v>22</v>
      </c>
      <c r="H677">
        <v>4</v>
      </c>
      <c r="I677">
        <v>0</v>
      </c>
      <c r="J677">
        <v>239.8</v>
      </c>
      <c r="K677" t="s">
        <v>18</v>
      </c>
      <c r="L677" t="s">
        <v>49</v>
      </c>
      <c r="M677" t="s">
        <v>73</v>
      </c>
    </row>
    <row r="678" spans="1:13" x14ac:dyDescent="0.2">
      <c r="A678">
        <v>677</v>
      </c>
      <c r="B678" t="s">
        <v>78</v>
      </c>
      <c r="C678" s="1">
        <v>45598</v>
      </c>
      <c r="D678" t="s">
        <v>79</v>
      </c>
      <c r="E678" t="s">
        <v>48</v>
      </c>
      <c r="F678" t="s">
        <v>21</v>
      </c>
      <c r="G678" t="s">
        <v>22</v>
      </c>
      <c r="H678">
        <v>1</v>
      </c>
      <c r="I678">
        <v>0</v>
      </c>
      <c r="J678">
        <v>39.950000000000003</v>
      </c>
      <c r="K678" t="s">
        <v>52</v>
      </c>
      <c r="L678" t="s">
        <v>45</v>
      </c>
      <c r="M678">
        <v>1</v>
      </c>
    </row>
    <row r="679" spans="1:13" x14ac:dyDescent="0.2">
      <c r="A679">
        <v>678</v>
      </c>
      <c r="B679" t="s">
        <v>74</v>
      </c>
      <c r="C679" s="2">
        <v>45641</v>
      </c>
      <c r="D679" t="s">
        <v>25</v>
      </c>
      <c r="E679" t="s">
        <v>25</v>
      </c>
      <c r="F679" t="s">
        <v>44</v>
      </c>
      <c r="H679">
        <v>4</v>
      </c>
      <c r="I679">
        <v>0</v>
      </c>
      <c r="J679">
        <v>179.8</v>
      </c>
      <c r="K679" t="s">
        <v>18</v>
      </c>
      <c r="L679" t="s">
        <v>30</v>
      </c>
      <c r="M679" t="s">
        <v>25</v>
      </c>
    </row>
    <row r="680" spans="1:13" x14ac:dyDescent="0.2">
      <c r="A680">
        <v>679</v>
      </c>
      <c r="B680" t="s">
        <v>83</v>
      </c>
      <c r="C680" s="2">
        <v>45169</v>
      </c>
      <c r="D680" t="s">
        <v>25</v>
      </c>
      <c r="E680" t="s">
        <v>25</v>
      </c>
      <c r="F680" t="s">
        <v>16</v>
      </c>
      <c r="G680" t="s">
        <v>17</v>
      </c>
      <c r="H680">
        <v>4</v>
      </c>
      <c r="I680">
        <v>0.15</v>
      </c>
      <c r="J680">
        <v>169.83</v>
      </c>
      <c r="K680" t="s">
        <v>36</v>
      </c>
      <c r="L680" t="s">
        <v>63</v>
      </c>
      <c r="M680" t="s">
        <v>25</v>
      </c>
    </row>
    <row r="681" spans="1:13" x14ac:dyDescent="0.2">
      <c r="A681">
        <v>680</v>
      </c>
      <c r="B681" t="s">
        <v>24</v>
      </c>
      <c r="C681" s="1">
        <v>45037</v>
      </c>
      <c r="D681" t="s">
        <v>87</v>
      </c>
      <c r="E681" t="s">
        <v>39</v>
      </c>
      <c r="F681" t="s">
        <v>16</v>
      </c>
      <c r="G681" t="s">
        <v>17</v>
      </c>
      <c r="H681">
        <v>3</v>
      </c>
      <c r="I681">
        <v>0</v>
      </c>
      <c r="J681">
        <v>134.85</v>
      </c>
      <c r="K681" t="s">
        <v>52</v>
      </c>
      <c r="L681" t="s">
        <v>45</v>
      </c>
      <c r="M681" t="b">
        <v>1</v>
      </c>
    </row>
    <row r="682" spans="1:13" x14ac:dyDescent="0.2">
      <c r="A682">
        <v>681</v>
      </c>
      <c r="B682" t="s">
        <v>37</v>
      </c>
      <c r="C682" s="2">
        <v>45523</v>
      </c>
      <c r="D682" t="s">
        <v>38</v>
      </c>
      <c r="E682" t="s">
        <v>39</v>
      </c>
      <c r="F682" t="s">
        <v>34</v>
      </c>
      <c r="G682" t="s">
        <v>35</v>
      </c>
      <c r="H682">
        <v>2</v>
      </c>
      <c r="I682">
        <v>0.2</v>
      </c>
      <c r="J682">
        <v>103.92</v>
      </c>
      <c r="K682" t="s">
        <v>27</v>
      </c>
      <c r="L682" t="s">
        <v>63</v>
      </c>
      <c r="M682">
        <v>1</v>
      </c>
    </row>
    <row r="683" spans="1:13" x14ac:dyDescent="0.2">
      <c r="A683">
        <v>682</v>
      </c>
      <c r="B683" t="s">
        <v>88</v>
      </c>
      <c r="C683" s="2">
        <v>45511</v>
      </c>
      <c r="D683" t="s">
        <v>89</v>
      </c>
      <c r="E683" t="s">
        <v>33</v>
      </c>
      <c r="F683" t="s">
        <v>16</v>
      </c>
      <c r="G683" t="s">
        <v>17</v>
      </c>
      <c r="H683">
        <v>2</v>
      </c>
      <c r="I683">
        <v>0.25</v>
      </c>
      <c r="J683">
        <v>297</v>
      </c>
      <c r="K683" t="s">
        <v>18</v>
      </c>
      <c r="L683" t="s">
        <v>63</v>
      </c>
      <c r="M683" t="b">
        <v>0</v>
      </c>
    </row>
    <row r="684" spans="1:13" x14ac:dyDescent="0.2">
      <c r="A684">
        <v>683</v>
      </c>
      <c r="B684" t="s">
        <v>61</v>
      </c>
      <c r="C684" s="2">
        <v>45437</v>
      </c>
      <c r="D684" t="s">
        <v>62</v>
      </c>
      <c r="E684" t="s">
        <v>33</v>
      </c>
      <c r="F684" t="s">
        <v>16</v>
      </c>
      <c r="G684" t="s">
        <v>17</v>
      </c>
      <c r="H684">
        <v>5</v>
      </c>
      <c r="I684">
        <v>0.1</v>
      </c>
      <c r="J684">
        <v>157.46</v>
      </c>
      <c r="K684" t="s">
        <v>27</v>
      </c>
      <c r="L684" t="s">
        <v>55</v>
      </c>
      <c r="M684">
        <v>0</v>
      </c>
    </row>
    <row r="685" spans="1:13" x14ac:dyDescent="0.2">
      <c r="A685">
        <v>684</v>
      </c>
      <c r="B685" t="s">
        <v>50</v>
      </c>
      <c r="C685" s="2">
        <v>45560</v>
      </c>
      <c r="D685" t="s">
        <v>51</v>
      </c>
      <c r="E685" t="s">
        <v>15</v>
      </c>
      <c r="F685" t="s">
        <v>66</v>
      </c>
      <c r="G685" t="s">
        <v>67</v>
      </c>
      <c r="H685">
        <v>1</v>
      </c>
      <c r="I685">
        <v>0.05</v>
      </c>
      <c r="J685">
        <v>66.45</v>
      </c>
      <c r="K685" t="s">
        <v>29</v>
      </c>
      <c r="M685">
        <v>0</v>
      </c>
    </row>
    <row r="686" spans="1:13" x14ac:dyDescent="0.2">
      <c r="A686">
        <v>685</v>
      </c>
      <c r="B686" t="s">
        <v>88</v>
      </c>
      <c r="C686" s="1">
        <v>45264</v>
      </c>
      <c r="D686" t="s">
        <v>89</v>
      </c>
      <c r="E686" t="s">
        <v>33</v>
      </c>
      <c r="F686" t="s">
        <v>34</v>
      </c>
      <c r="G686" t="s">
        <v>35</v>
      </c>
      <c r="H686">
        <v>1</v>
      </c>
      <c r="I686">
        <v>0</v>
      </c>
      <c r="J686">
        <v>198</v>
      </c>
      <c r="K686" t="s">
        <v>80</v>
      </c>
      <c r="L686" t="s">
        <v>63</v>
      </c>
      <c r="M686" t="b">
        <v>0</v>
      </c>
    </row>
    <row r="687" spans="1:13" x14ac:dyDescent="0.2">
      <c r="A687">
        <v>686</v>
      </c>
      <c r="B687" t="s">
        <v>68</v>
      </c>
      <c r="C687" s="2">
        <v>45417</v>
      </c>
      <c r="D687" t="s">
        <v>69</v>
      </c>
      <c r="E687" t="s">
        <v>33</v>
      </c>
      <c r="F687" t="s">
        <v>26</v>
      </c>
      <c r="G687" t="s">
        <v>22</v>
      </c>
      <c r="H687">
        <v>1</v>
      </c>
      <c r="J687">
        <v>119</v>
      </c>
      <c r="K687" t="s">
        <v>80</v>
      </c>
      <c r="L687" t="s">
        <v>55</v>
      </c>
      <c r="M687" t="b">
        <v>0</v>
      </c>
    </row>
    <row r="688" spans="1:13" x14ac:dyDescent="0.2">
      <c r="A688">
        <v>687</v>
      </c>
      <c r="B688" t="s">
        <v>13</v>
      </c>
      <c r="C688" s="2">
        <v>45549</v>
      </c>
      <c r="D688" t="s">
        <v>14</v>
      </c>
      <c r="E688" t="s">
        <v>15</v>
      </c>
      <c r="F688" t="s">
        <v>34</v>
      </c>
      <c r="G688" t="s">
        <v>35</v>
      </c>
      <c r="H688">
        <v>1</v>
      </c>
      <c r="I688" t="s">
        <v>60</v>
      </c>
      <c r="J688">
        <v>19.989999999999998</v>
      </c>
      <c r="K688" t="s">
        <v>80</v>
      </c>
      <c r="L688" t="s">
        <v>63</v>
      </c>
      <c r="M688">
        <v>0</v>
      </c>
    </row>
    <row r="689" spans="1:13" x14ac:dyDescent="0.2">
      <c r="A689">
        <v>688</v>
      </c>
      <c r="B689" t="s">
        <v>46</v>
      </c>
      <c r="C689" s="2">
        <v>45278</v>
      </c>
      <c r="D689" t="s">
        <v>47</v>
      </c>
      <c r="E689" t="s">
        <v>48</v>
      </c>
      <c r="F689" t="s">
        <v>44</v>
      </c>
      <c r="H689">
        <v>5</v>
      </c>
      <c r="I689" t="s">
        <v>60</v>
      </c>
      <c r="J689">
        <v>249.75</v>
      </c>
      <c r="K689" t="s">
        <v>18</v>
      </c>
      <c r="L689" t="s">
        <v>49</v>
      </c>
      <c r="M689">
        <v>0</v>
      </c>
    </row>
    <row r="690" spans="1:13" x14ac:dyDescent="0.2">
      <c r="A690">
        <v>689</v>
      </c>
      <c r="B690" t="s">
        <v>19</v>
      </c>
      <c r="C690" s="2">
        <v>45376</v>
      </c>
      <c r="D690" t="s">
        <v>20</v>
      </c>
      <c r="E690" t="s">
        <v>15</v>
      </c>
      <c r="F690" t="s">
        <v>26</v>
      </c>
      <c r="G690" t="s">
        <v>22</v>
      </c>
      <c r="H690">
        <v>1</v>
      </c>
      <c r="I690">
        <v>0</v>
      </c>
      <c r="J690">
        <v>89.95</v>
      </c>
      <c r="K690" t="s">
        <v>18</v>
      </c>
      <c r="L690" t="s">
        <v>23</v>
      </c>
      <c r="M690" t="b">
        <v>1</v>
      </c>
    </row>
    <row r="691" spans="1:13" x14ac:dyDescent="0.2">
      <c r="A691">
        <v>690</v>
      </c>
      <c r="B691" t="s">
        <v>42</v>
      </c>
      <c r="C691" s="2">
        <v>45292</v>
      </c>
      <c r="D691" t="s">
        <v>43</v>
      </c>
      <c r="E691" t="s">
        <v>15</v>
      </c>
      <c r="F691" t="s">
        <v>16</v>
      </c>
      <c r="G691" t="s">
        <v>17</v>
      </c>
      <c r="H691">
        <v>3</v>
      </c>
      <c r="I691">
        <v>0.05</v>
      </c>
      <c r="J691">
        <v>367.65</v>
      </c>
      <c r="K691" t="s">
        <v>36</v>
      </c>
      <c r="L691" t="s">
        <v>41</v>
      </c>
      <c r="M691" t="b">
        <v>1</v>
      </c>
    </row>
    <row r="692" spans="1:13" x14ac:dyDescent="0.2">
      <c r="A692">
        <v>691</v>
      </c>
      <c r="B692" t="s">
        <v>58</v>
      </c>
      <c r="C692" s="2">
        <v>45007</v>
      </c>
      <c r="D692" t="s">
        <v>59</v>
      </c>
      <c r="E692" t="s">
        <v>15</v>
      </c>
      <c r="F692" t="s">
        <v>16</v>
      </c>
      <c r="G692" t="s">
        <v>17</v>
      </c>
      <c r="H692">
        <v>3</v>
      </c>
      <c r="I692">
        <v>0.2</v>
      </c>
      <c r="J692">
        <v>143.88</v>
      </c>
      <c r="K692" t="s">
        <v>52</v>
      </c>
      <c r="L692" t="s">
        <v>41</v>
      </c>
      <c r="M692">
        <v>1</v>
      </c>
    </row>
    <row r="693" spans="1:13" x14ac:dyDescent="0.2">
      <c r="A693">
        <v>692</v>
      </c>
      <c r="B693" t="s">
        <v>19</v>
      </c>
      <c r="C693" s="2">
        <v>45437</v>
      </c>
      <c r="D693" t="s">
        <v>20</v>
      </c>
      <c r="E693" t="s">
        <v>15</v>
      </c>
      <c r="F693" t="s">
        <v>26</v>
      </c>
      <c r="G693" t="s">
        <v>22</v>
      </c>
      <c r="H693">
        <v>4</v>
      </c>
      <c r="I693">
        <v>0.25</v>
      </c>
      <c r="J693">
        <v>269.85000000000002</v>
      </c>
      <c r="K693" t="s">
        <v>27</v>
      </c>
      <c r="L693" t="s">
        <v>55</v>
      </c>
      <c r="M693" t="b">
        <v>1</v>
      </c>
    </row>
    <row r="694" spans="1:13" x14ac:dyDescent="0.2">
      <c r="A694">
        <v>693</v>
      </c>
      <c r="B694" t="s">
        <v>58</v>
      </c>
      <c r="C694" s="2">
        <v>45602</v>
      </c>
      <c r="D694" t="s">
        <v>59</v>
      </c>
      <c r="E694" t="s">
        <v>15</v>
      </c>
      <c r="F694" t="s">
        <v>44</v>
      </c>
      <c r="H694">
        <v>2</v>
      </c>
      <c r="I694">
        <v>0.05</v>
      </c>
      <c r="J694">
        <v>113.9</v>
      </c>
      <c r="K694" t="s">
        <v>18</v>
      </c>
      <c r="L694" t="s">
        <v>28</v>
      </c>
      <c r="M694">
        <v>1</v>
      </c>
    </row>
    <row r="695" spans="1:13" x14ac:dyDescent="0.2">
      <c r="A695">
        <v>694</v>
      </c>
      <c r="B695" t="s">
        <v>81</v>
      </c>
      <c r="C695" s="2">
        <v>45563</v>
      </c>
      <c r="D695" t="s">
        <v>82</v>
      </c>
      <c r="E695" t="s">
        <v>15</v>
      </c>
      <c r="F695" t="s">
        <v>53</v>
      </c>
      <c r="G695" t="s">
        <v>54</v>
      </c>
      <c r="H695">
        <v>2</v>
      </c>
      <c r="I695">
        <v>0</v>
      </c>
      <c r="J695">
        <v>159.9</v>
      </c>
      <c r="K695" t="s">
        <v>36</v>
      </c>
      <c r="L695" t="s">
        <v>49</v>
      </c>
      <c r="M695" t="s">
        <v>73</v>
      </c>
    </row>
    <row r="696" spans="1:13" x14ac:dyDescent="0.2">
      <c r="A696">
        <v>695</v>
      </c>
      <c r="B696" t="s">
        <v>56</v>
      </c>
      <c r="C696" s="2">
        <v>45317</v>
      </c>
      <c r="D696" t="s">
        <v>57</v>
      </c>
      <c r="E696" t="s">
        <v>48</v>
      </c>
      <c r="F696" t="s">
        <v>53</v>
      </c>
      <c r="G696" t="s">
        <v>54</v>
      </c>
      <c r="H696">
        <v>4</v>
      </c>
      <c r="I696" t="s">
        <v>70</v>
      </c>
      <c r="J696">
        <v>340</v>
      </c>
      <c r="K696" t="s">
        <v>18</v>
      </c>
      <c r="L696" t="s">
        <v>30</v>
      </c>
      <c r="M696">
        <v>1</v>
      </c>
    </row>
    <row r="697" spans="1:13" x14ac:dyDescent="0.2">
      <c r="A697">
        <v>696</v>
      </c>
      <c r="B697" t="s">
        <v>58</v>
      </c>
      <c r="C697" s="2">
        <v>45602</v>
      </c>
      <c r="D697" t="s">
        <v>59</v>
      </c>
      <c r="E697" t="s">
        <v>15</v>
      </c>
      <c r="F697" t="s">
        <v>21</v>
      </c>
      <c r="G697" t="s">
        <v>22</v>
      </c>
      <c r="H697">
        <v>5</v>
      </c>
      <c r="I697">
        <v>0.1</v>
      </c>
      <c r="J697">
        <v>269.77999999999997</v>
      </c>
      <c r="K697" t="s">
        <v>52</v>
      </c>
      <c r="L697" t="s">
        <v>49</v>
      </c>
      <c r="M697">
        <v>1</v>
      </c>
    </row>
    <row r="698" spans="1:13" x14ac:dyDescent="0.2">
      <c r="A698">
        <v>697</v>
      </c>
      <c r="B698" t="s">
        <v>13</v>
      </c>
      <c r="C698" s="2">
        <v>45294</v>
      </c>
      <c r="D698" t="s">
        <v>14</v>
      </c>
      <c r="E698" t="s">
        <v>15</v>
      </c>
      <c r="F698" t="s">
        <v>44</v>
      </c>
      <c r="H698">
        <v>4</v>
      </c>
      <c r="I698">
        <v>0</v>
      </c>
      <c r="J698">
        <v>79.959999999999994</v>
      </c>
      <c r="K698" t="s">
        <v>27</v>
      </c>
      <c r="L698" t="s">
        <v>41</v>
      </c>
      <c r="M698">
        <v>0</v>
      </c>
    </row>
    <row r="699" spans="1:13" x14ac:dyDescent="0.2">
      <c r="A699">
        <v>698</v>
      </c>
      <c r="B699" t="s">
        <v>31</v>
      </c>
      <c r="C699" s="2">
        <v>45057</v>
      </c>
      <c r="D699" t="s">
        <v>32</v>
      </c>
      <c r="E699" t="s">
        <v>33</v>
      </c>
      <c r="F699" t="s">
        <v>44</v>
      </c>
      <c r="H699">
        <v>3</v>
      </c>
      <c r="I699">
        <v>0.1</v>
      </c>
      <c r="J699">
        <v>215.87</v>
      </c>
      <c r="K699" t="s">
        <v>29</v>
      </c>
      <c r="M699" t="b">
        <v>0</v>
      </c>
    </row>
    <row r="700" spans="1:13" x14ac:dyDescent="0.2">
      <c r="A700">
        <v>699</v>
      </c>
      <c r="B700" t="s">
        <v>81</v>
      </c>
      <c r="C700" s="2">
        <v>45192</v>
      </c>
      <c r="D700" t="s">
        <v>82</v>
      </c>
      <c r="E700" t="s">
        <v>15</v>
      </c>
      <c r="G700" t="s">
        <v>25</v>
      </c>
      <c r="H700">
        <v>3</v>
      </c>
      <c r="I700">
        <v>0</v>
      </c>
      <c r="J700">
        <v>239.85</v>
      </c>
      <c r="K700" t="s">
        <v>27</v>
      </c>
      <c r="L700" t="s">
        <v>63</v>
      </c>
      <c r="M700" t="s">
        <v>73</v>
      </c>
    </row>
    <row r="701" spans="1:13" x14ac:dyDescent="0.2">
      <c r="A701">
        <v>700</v>
      </c>
      <c r="B701" t="s">
        <v>78</v>
      </c>
      <c r="C701" s="2">
        <v>45511</v>
      </c>
      <c r="D701" t="s">
        <v>25</v>
      </c>
      <c r="E701" t="s">
        <v>25</v>
      </c>
      <c r="F701" t="s">
        <v>16</v>
      </c>
      <c r="G701" t="s">
        <v>17</v>
      </c>
      <c r="H701">
        <v>1</v>
      </c>
      <c r="I701">
        <v>0.05</v>
      </c>
      <c r="J701">
        <v>37.950000000000003</v>
      </c>
      <c r="K701" t="s">
        <v>52</v>
      </c>
      <c r="L701" t="s">
        <v>63</v>
      </c>
      <c r="M701" t="s">
        <v>25</v>
      </c>
    </row>
    <row r="702" spans="1:13" x14ac:dyDescent="0.2">
      <c r="A702">
        <v>701</v>
      </c>
      <c r="B702" t="s">
        <v>68</v>
      </c>
      <c r="C702" s="2">
        <v>45304</v>
      </c>
      <c r="D702" t="s">
        <v>69</v>
      </c>
      <c r="E702" t="s">
        <v>33</v>
      </c>
      <c r="F702" t="s">
        <v>21</v>
      </c>
      <c r="G702" t="s">
        <v>22</v>
      </c>
      <c r="H702">
        <v>4</v>
      </c>
      <c r="I702">
        <v>0.1</v>
      </c>
      <c r="J702">
        <v>428.4</v>
      </c>
      <c r="K702" t="s">
        <v>18</v>
      </c>
      <c r="L702" t="s">
        <v>23</v>
      </c>
      <c r="M702" t="b">
        <v>0</v>
      </c>
    </row>
    <row r="703" spans="1:13" x14ac:dyDescent="0.2">
      <c r="A703">
        <v>702</v>
      </c>
      <c r="B703" t="s">
        <v>37</v>
      </c>
      <c r="C703" s="2">
        <v>45591</v>
      </c>
      <c r="D703" t="s">
        <v>38</v>
      </c>
      <c r="E703" t="s">
        <v>39</v>
      </c>
      <c r="F703" t="s">
        <v>40</v>
      </c>
      <c r="G703" t="s">
        <v>17</v>
      </c>
      <c r="H703">
        <v>4</v>
      </c>
      <c r="I703">
        <v>0</v>
      </c>
      <c r="J703">
        <v>259.8</v>
      </c>
      <c r="K703" t="s">
        <v>29</v>
      </c>
      <c r="L703" t="s">
        <v>45</v>
      </c>
      <c r="M703">
        <v>1</v>
      </c>
    </row>
    <row r="704" spans="1:13" x14ac:dyDescent="0.2">
      <c r="A704">
        <v>703</v>
      </c>
      <c r="B704" t="s">
        <v>78</v>
      </c>
      <c r="C704" s="2">
        <v>45202</v>
      </c>
      <c r="D704" t="s">
        <v>79</v>
      </c>
      <c r="E704" t="s">
        <v>48</v>
      </c>
      <c r="F704" t="s">
        <v>16</v>
      </c>
      <c r="G704" t="s">
        <v>17</v>
      </c>
      <c r="H704">
        <v>1</v>
      </c>
      <c r="I704">
        <v>0.25</v>
      </c>
      <c r="J704">
        <v>29.96</v>
      </c>
      <c r="K704" t="s">
        <v>52</v>
      </c>
      <c r="L704" t="s">
        <v>41</v>
      </c>
      <c r="M704">
        <v>1</v>
      </c>
    </row>
    <row r="705" spans="1:13" x14ac:dyDescent="0.2">
      <c r="A705">
        <v>704</v>
      </c>
      <c r="B705" t="s">
        <v>19</v>
      </c>
      <c r="C705" s="1">
        <v>45287</v>
      </c>
      <c r="D705" t="s">
        <v>20</v>
      </c>
      <c r="E705" t="s">
        <v>15</v>
      </c>
      <c r="F705" t="s">
        <v>16</v>
      </c>
      <c r="G705" t="s">
        <v>17</v>
      </c>
      <c r="H705">
        <v>4</v>
      </c>
      <c r="I705">
        <v>0.2</v>
      </c>
      <c r="J705">
        <v>287.83999999999997</v>
      </c>
      <c r="K705" t="s">
        <v>27</v>
      </c>
      <c r="L705" t="s">
        <v>49</v>
      </c>
      <c r="M705" t="b">
        <v>1</v>
      </c>
    </row>
    <row r="706" spans="1:13" x14ac:dyDescent="0.2">
      <c r="A706">
        <v>705</v>
      </c>
      <c r="B706" t="s">
        <v>56</v>
      </c>
      <c r="C706" s="2">
        <v>45193</v>
      </c>
      <c r="D706" t="s">
        <v>57</v>
      </c>
      <c r="E706" t="s">
        <v>48</v>
      </c>
      <c r="F706" t="s">
        <v>66</v>
      </c>
      <c r="G706" t="s">
        <v>67</v>
      </c>
      <c r="H706">
        <v>2</v>
      </c>
      <c r="I706">
        <v>0.2</v>
      </c>
      <c r="J706">
        <v>136</v>
      </c>
      <c r="K706" t="s">
        <v>80</v>
      </c>
      <c r="L706" t="s">
        <v>45</v>
      </c>
      <c r="M706">
        <v>1</v>
      </c>
    </row>
    <row r="707" spans="1:13" x14ac:dyDescent="0.2">
      <c r="A707">
        <v>706</v>
      </c>
      <c r="B707" t="s">
        <v>31</v>
      </c>
      <c r="C707" s="2">
        <v>45355</v>
      </c>
      <c r="D707" t="s">
        <v>32</v>
      </c>
      <c r="E707" t="s">
        <v>33</v>
      </c>
      <c r="F707" t="s">
        <v>34</v>
      </c>
      <c r="G707" t="s">
        <v>35</v>
      </c>
      <c r="H707">
        <v>4</v>
      </c>
      <c r="I707">
        <v>0</v>
      </c>
      <c r="J707">
        <v>319.8</v>
      </c>
      <c r="K707" t="s">
        <v>27</v>
      </c>
      <c r="M707" t="b">
        <v>0</v>
      </c>
    </row>
    <row r="708" spans="1:13" x14ac:dyDescent="0.2">
      <c r="A708">
        <v>707</v>
      </c>
      <c r="B708" t="s">
        <v>61</v>
      </c>
      <c r="C708" s="2">
        <v>45057</v>
      </c>
      <c r="D708" t="s">
        <v>62</v>
      </c>
      <c r="E708" t="s">
        <v>33</v>
      </c>
      <c r="F708" t="s">
        <v>16</v>
      </c>
      <c r="G708" t="s">
        <v>17</v>
      </c>
      <c r="H708">
        <v>5</v>
      </c>
      <c r="I708">
        <v>0.2</v>
      </c>
      <c r="J708">
        <v>139.96</v>
      </c>
      <c r="K708" t="s">
        <v>52</v>
      </c>
      <c r="L708" t="s">
        <v>28</v>
      </c>
      <c r="M708">
        <v>0</v>
      </c>
    </row>
    <row r="709" spans="1:13" x14ac:dyDescent="0.2">
      <c r="A709">
        <v>708</v>
      </c>
      <c r="B709" t="s">
        <v>42</v>
      </c>
      <c r="C709" s="1">
        <v>45387</v>
      </c>
      <c r="D709" t="s">
        <v>43</v>
      </c>
      <c r="E709" t="s">
        <v>15</v>
      </c>
      <c r="F709" t="s">
        <v>26</v>
      </c>
      <c r="G709" t="s">
        <v>22</v>
      </c>
      <c r="H709">
        <v>3</v>
      </c>
      <c r="I709">
        <v>0.25</v>
      </c>
      <c r="J709">
        <v>290.25</v>
      </c>
      <c r="K709" t="s">
        <v>36</v>
      </c>
      <c r="L709" t="s">
        <v>28</v>
      </c>
      <c r="M709" t="b">
        <v>1</v>
      </c>
    </row>
    <row r="710" spans="1:13" x14ac:dyDescent="0.2">
      <c r="A710">
        <v>709</v>
      </c>
      <c r="B710" t="s">
        <v>61</v>
      </c>
      <c r="C710" s="2">
        <v>45255</v>
      </c>
      <c r="D710" t="s">
        <v>62</v>
      </c>
      <c r="E710" t="s">
        <v>33</v>
      </c>
      <c r="F710" t="s">
        <v>16</v>
      </c>
      <c r="G710" t="s">
        <v>17</v>
      </c>
      <c r="H710">
        <v>1</v>
      </c>
      <c r="I710">
        <v>0.15</v>
      </c>
      <c r="J710">
        <v>29.74</v>
      </c>
      <c r="K710" t="s">
        <v>29</v>
      </c>
      <c r="M710">
        <v>0</v>
      </c>
    </row>
    <row r="711" spans="1:13" x14ac:dyDescent="0.2">
      <c r="A711">
        <v>710</v>
      </c>
      <c r="B711" t="s">
        <v>50</v>
      </c>
      <c r="C711" s="2">
        <v>45073</v>
      </c>
      <c r="D711" t="s">
        <v>51</v>
      </c>
      <c r="E711" t="s">
        <v>15</v>
      </c>
      <c r="F711" t="s">
        <v>21</v>
      </c>
      <c r="G711" t="s">
        <v>22</v>
      </c>
      <c r="H711">
        <v>3</v>
      </c>
      <c r="I711">
        <v>0.2</v>
      </c>
      <c r="J711">
        <v>167.88</v>
      </c>
      <c r="K711" t="s">
        <v>18</v>
      </c>
      <c r="L711" t="s">
        <v>49</v>
      </c>
      <c r="M711">
        <v>0</v>
      </c>
    </row>
    <row r="712" spans="1:13" x14ac:dyDescent="0.2">
      <c r="A712">
        <v>711</v>
      </c>
      <c r="B712" t="s">
        <v>31</v>
      </c>
      <c r="C712" s="2">
        <v>45376</v>
      </c>
      <c r="D712" t="s">
        <v>32</v>
      </c>
      <c r="E712" t="s">
        <v>33</v>
      </c>
      <c r="F712" t="s">
        <v>53</v>
      </c>
      <c r="G712" t="s">
        <v>54</v>
      </c>
      <c r="H712">
        <v>1</v>
      </c>
      <c r="I712">
        <v>0.1</v>
      </c>
      <c r="J712">
        <v>71.959999999999994</v>
      </c>
      <c r="K712" t="s">
        <v>29</v>
      </c>
      <c r="L712" t="s">
        <v>30</v>
      </c>
      <c r="M712" t="b">
        <v>0</v>
      </c>
    </row>
    <row r="713" spans="1:13" x14ac:dyDescent="0.2">
      <c r="A713">
        <v>712</v>
      </c>
      <c r="B713" t="s">
        <v>56</v>
      </c>
      <c r="C713" s="1">
        <v>44967</v>
      </c>
      <c r="D713" t="s">
        <v>57</v>
      </c>
      <c r="E713" t="s">
        <v>48</v>
      </c>
      <c r="F713" t="s">
        <v>34</v>
      </c>
      <c r="G713" t="s">
        <v>35</v>
      </c>
      <c r="H713">
        <v>5</v>
      </c>
      <c r="I713">
        <v>0</v>
      </c>
      <c r="J713">
        <v>425</v>
      </c>
      <c r="K713" t="s">
        <v>80</v>
      </c>
      <c r="L713" t="s">
        <v>23</v>
      </c>
      <c r="M713">
        <v>1</v>
      </c>
    </row>
    <row r="714" spans="1:13" x14ac:dyDescent="0.2">
      <c r="A714">
        <v>713</v>
      </c>
      <c r="B714" t="s">
        <v>78</v>
      </c>
      <c r="C714" s="2">
        <v>45650</v>
      </c>
      <c r="D714" t="s">
        <v>79</v>
      </c>
      <c r="E714" t="s">
        <v>48</v>
      </c>
      <c r="F714" t="s">
        <v>44</v>
      </c>
      <c r="H714">
        <v>2</v>
      </c>
      <c r="I714">
        <v>0.25</v>
      </c>
      <c r="J714">
        <v>59.92</v>
      </c>
      <c r="K714" t="s">
        <v>27</v>
      </c>
      <c r="L714" t="s">
        <v>30</v>
      </c>
      <c r="M714">
        <v>1</v>
      </c>
    </row>
    <row r="715" spans="1:13" x14ac:dyDescent="0.2">
      <c r="A715">
        <v>714</v>
      </c>
      <c r="B715" t="s">
        <v>19</v>
      </c>
      <c r="C715" s="2">
        <v>45270</v>
      </c>
      <c r="D715" t="s">
        <v>20</v>
      </c>
      <c r="E715" t="s">
        <v>15</v>
      </c>
      <c r="F715" t="s">
        <v>16</v>
      </c>
      <c r="G715" t="s">
        <v>17</v>
      </c>
      <c r="H715">
        <v>1</v>
      </c>
      <c r="I715">
        <v>0.15</v>
      </c>
      <c r="J715">
        <v>76.459999999999994</v>
      </c>
      <c r="K715" t="s">
        <v>80</v>
      </c>
      <c r="M715" t="b">
        <v>1</v>
      </c>
    </row>
    <row r="716" spans="1:13" x14ac:dyDescent="0.2">
      <c r="A716">
        <v>715</v>
      </c>
      <c r="B716" t="s">
        <v>37</v>
      </c>
      <c r="C716" s="1">
        <v>45067</v>
      </c>
      <c r="D716" t="s">
        <v>38</v>
      </c>
      <c r="E716" t="s">
        <v>39</v>
      </c>
      <c r="F716" t="s">
        <v>40</v>
      </c>
      <c r="G716" t="s">
        <v>17</v>
      </c>
      <c r="H716">
        <v>5</v>
      </c>
      <c r="I716">
        <v>0</v>
      </c>
      <c r="J716">
        <v>324.75</v>
      </c>
      <c r="K716" t="s">
        <v>18</v>
      </c>
      <c r="L716" t="s">
        <v>23</v>
      </c>
      <c r="M716">
        <v>1</v>
      </c>
    </row>
    <row r="717" spans="1:13" x14ac:dyDescent="0.2">
      <c r="A717">
        <v>716</v>
      </c>
      <c r="B717" t="s">
        <v>42</v>
      </c>
      <c r="C717" s="2">
        <v>44995</v>
      </c>
      <c r="D717" t="s">
        <v>43</v>
      </c>
      <c r="E717" t="s">
        <v>15</v>
      </c>
      <c r="F717" t="s">
        <v>34</v>
      </c>
      <c r="G717" t="s">
        <v>35</v>
      </c>
      <c r="H717">
        <v>5</v>
      </c>
      <c r="I717">
        <v>0.05</v>
      </c>
      <c r="J717">
        <v>612.75</v>
      </c>
      <c r="K717" t="s">
        <v>29</v>
      </c>
      <c r="L717" t="s">
        <v>23</v>
      </c>
      <c r="M717" t="b">
        <v>1</v>
      </c>
    </row>
    <row r="718" spans="1:13" x14ac:dyDescent="0.2">
      <c r="A718">
        <v>717</v>
      </c>
      <c r="B718" t="s">
        <v>78</v>
      </c>
      <c r="C718" s="2">
        <v>45611</v>
      </c>
      <c r="D718" t="s">
        <v>79</v>
      </c>
      <c r="E718" t="s">
        <v>48</v>
      </c>
      <c r="F718" t="s">
        <v>44</v>
      </c>
      <c r="H718">
        <v>2</v>
      </c>
      <c r="I718">
        <v>0.1</v>
      </c>
      <c r="J718">
        <v>71.91</v>
      </c>
      <c r="K718" t="s">
        <v>52</v>
      </c>
      <c r="L718" t="s">
        <v>63</v>
      </c>
      <c r="M718">
        <v>1</v>
      </c>
    </row>
    <row r="719" spans="1:13" x14ac:dyDescent="0.2">
      <c r="A719">
        <v>718</v>
      </c>
      <c r="B719" t="s">
        <v>85</v>
      </c>
      <c r="C719" s="2">
        <v>45362</v>
      </c>
      <c r="D719" t="s">
        <v>86</v>
      </c>
      <c r="E719" t="s">
        <v>76</v>
      </c>
      <c r="F719" t="s">
        <v>53</v>
      </c>
      <c r="G719" t="s">
        <v>54</v>
      </c>
      <c r="H719">
        <v>4</v>
      </c>
      <c r="I719">
        <v>0.15</v>
      </c>
      <c r="J719">
        <v>305.83</v>
      </c>
      <c r="K719" t="s">
        <v>36</v>
      </c>
      <c r="L719" t="s">
        <v>63</v>
      </c>
      <c r="M719" t="s">
        <v>73</v>
      </c>
    </row>
    <row r="720" spans="1:13" x14ac:dyDescent="0.2">
      <c r="A720">
        <v>719</v>
      </c>
      <c r="B720" t="s">
        <v>71</v>
      </c>
      <c r="C720" s="1">
        <v>45201</v>
      </c>
      <c r="D720" t="s">
        <v>72</v>
      </c>
      <c r="E720" t="s">
        <v>33</v>
      </c>
      <c r="F720" t="s">
        <v>44</v>
      </c>
      <c r="H720">
        <v>4</v>
      </c>
      <c r="I720">
        <v>0.05</v>
      </c>
      <c r="J720">
        <v>227.81</v>
      </c>
      <c r="K720" t="s">
        <v>52</v>
      </c>
      <c r="L720" t="s">
        <v>23</v>
      </c>
      <c r="M720" t="s">
        <v>73</v>
      </c>
    </row>
    <row r="721" spans="1:13" x14ac:dyDescent="0.2">
      <c r="A721">
        <v>720</v>
      </c>
      <c r="B721" t="s">
        <v>74</v>
      </c>
      <c r="C721" s="2">
        <v>45151</v>
      </c>
      <c r="D721" t="s">
        <v>75</v>
      </c>
      <c r="E721" t="s">
        <v>76</v>
      </c>
      <c r="F721" t="s">
        <v>21</v>
      </c>
      <c r="G721" t="s">
        <v>22</v>
      </c>
      <c r="H721">
        <v>3</v>
      </c>
      <c r="I721">
        <v>0</v>
      </c>
      <c r="J721">
        <v>134.85</v>
      </c>
      <c r="K721" t="s">
        <v>29</v>
      </c>
      <c r="L721" t="s">
        <v>30</v>
      </c>
      <c r="M721" t="s">
        <v>77</v>
      </c>
    </row>
    <row r="722" spans="1:13" x14ac:dyDescent="0.2">
      <c r="A722">
        <v>721</v>
      </c>
      <c r="B722" t="s">
        <v>71</v>
      </c>
      <c r="C722" s="2">
        <v>45479</v>
      </c>
      <c r="D722" t="s">
        <v>72</v>
      </c>
      <c r="E722" t="s">
        <v>33</v>
      </c>
      <c r="F722" t="s">
        <v>16</v>
      </c>
      <c r="G722" t="s">
        <v>17</v>
      </c>
      <c r="H722">
        <v>5</v>
      </c>
      <c r="I722">
        <v>0.15</v>
      </c>
      <c r="J722">
        <v>254.79</v>
      </c>
      <c r="K722" t="s">
        <v>80</v>
      </c>
      <c r="L722" t="s">
        <v>45</v>
      </c>
      <c r="M722" t="s">
        <v>73</v>
      </c>
    </row>
    <row r="723" spans="1:13" x14ac:dyDescent="0.2">
      <c r="A723">
        <v>722</v>
      </c>
      <c r="B723" t="s">
        <v>58</v>
      </c>
      <c r="C723" s="2">
        <v>45130</v>
      </c>
      <c r="D723" t="s">
        <v>59</v>
      </c>
      <c r="E723" t="s">
        <v>15</v>
      </c>
      <c r="F723" t="s">
        <v>16</v>
      </c>
      <c r="G723" t="s">
        <v>17</v>
      </c>
      <c r="H723">
        <v>5</v>
      </c>
      <c r="I723">
        <v>0.05</v>
      </c>
      <c r="J723">
        <v>284.76</v>
      </c>
      <c r="K723" t="s">
        <v>80</v>
      </c>
      <c r="L723" t="s">
        <v>49</v>
      </c>
      <c r="M723">
        <v>1</v>
      </c>
    </row>
    <row r="724" spans="1:13" x14ac:dyDescent="0.2">
      <c r="A724">
        <v>723</v>
      </c>
      <c r="B724" t="s">
        <v>13</v>
      </c>
      <c r="C724" s="2">
        <v>45334</v>
      </c>
      <c r="D724" t="s">
        <v>25</v>
      </c>
      <c r="E724" t="s">
        <v>25</v>
      </c>
      <c r="G724" t="s">
        <v>25</v>
      </c>
      <c r="H724">
        <v>1</v>
      </c>
      <c r="I724">
        <v>0</v>
      </c>
      <c r="J724">
        <v>19.989999999999998</v>
      </c>
      <c r="K724" t="s">
        <v>80</v>
      </c>
      <c r="L724" t="s">
        <v>55</v>
      </c>
      <c r="M724" t="s">
        <v>25</v>
      </c>
    </row>
    <row r="725" spans="1:13" x14ac:dyDescent="0.2">
      <c r="A725">
        <v>724</v>
      </c>
      <c r="B725" t="s">
        <v>74</v>
      </c>
      <c r="C725" s="1">
        <v>45002</v>
      </c>
      <c r="D725" t="s">
        <v>75</v>
      </c>
      <c r="E725" t="s">
        <v>76</v>
      </c>
      <c r="F725" t="s">
        <v>21</v>
      </c>
      <c r="G725" t="s">
        <v>22</v>
      </c>
      <c r="H725">
        <v>2</v>
      </c>
      <c r="J725">
        <v>89.9</v>
      </c>
      <c r="K725" t="s">
        <v>27</v>
      </c>
      <c r="L725" t="s">
        <v>55</v>
      </c>
      <c r="M725" t="s">
        <v>77</v>
      </c>
    </row>
    <row r="726" spans="1:13" x14ac:dyDescent="0.2">
      <c r="A726">
        <v>725</v>
      </c>
      <c r="B726" t="s">
        <v>88</v>
      </c>
      <c r="C726" s="2">
        <v>45396</v>
      </c>
      <c r="D726" t="s">
        <v>89</v>
      </c>
      <c r="E726" t="s">
        <v>33</v>
      </c>
      <c r="F726" t="s">
        <v>53</v>
      </c>
      <c r="G726" t="s">
        <v>54</v>
      </c>
      <c r="H726">
        <v>4</v>
      </c>
      <c r="I726">
        <v>0</v>
      </c>
      <c r="J726">
        <v>792</v>
      </c>
      <c r="K726" t="s">
        <v>52</v>
      </c>
      <c r="L726" t="s">
        <v>30</v>
      </c>
      <c r="M726" t="b">
        <v>0</v>
      </c>
    </row>
    <row r="727" spans="1:13" x14ac:dyDescent="0.2">
      <c r="A727">
        <v>726</v>
      </c>
      <c r="B727" t="s">
        <v>56</v>
      </c>
      <c r="C727" s="1">
        <v>45435</v>
      </c>
      <c r="D727" t="s">
        <v>57</v>
      </c>
      <c r="E727" t="s">
        <v>48</v>
      </c>
      <c r="F727" t="s">
        <v>53</v>
      </c>
      <c r="G727" t="s">
        <v>54</v>
      </c>
      <c r="H727">
        <v>5</v>
      </c>
      <c r="I727">
        <v>0.05</v>
      </c>
      <c r="J727">
        <v>403.75</v>
      </c>
      <c r="K727" t="s">
        <v>27</v>
      </c>
      <c r="L727" t="s">
        <v>28</v>
      </c>
      <c r="M727">
        <v>1</v>
      </c>
    </row>
    <row r="728" spans="1:13" x14ac:dyDescent="0.2">
      <c r="A728">
        <v>727</v>
      </c>
      <c r="B728" t="s">
        <v>83</v>
      </c>
      <c r="C728" s="1">
        <v>45074</v>
      </c>
      <c r="D728" t="s">
        <v>84</v>
      </c>
      <c r="E728" t="s">
        <v>48</v>
      </c>
      <c r="F728" t="s">
        <v>40</v>
      </c>
      <c r="G728" t="s">
        <v>17</v>
      </c>
      <c r="H728">
        <v>5</v>
      </c>
      <c r="I728">
        <v>0</v>
      </c>
      <c r="J728">
        <v>249.75</v>
      </c>
      <c r="K728" t="s">
        <v>52</v>
      </c>
      <c r="L728" t="s">
        <v>30</v>
      </c>
      <c r="M728">
        <v>0</v>
      </c>
    </row>
    <row r="729" spans="1:13" x14ac:dyDescent="0.2">
      <c r="A729">
        <v>728</v>
      </c>
      <c r="B729" t="s">
        <v>78</v>
      </c>
      <c r="C729" s="2">
        <v>45185</v>
      </c>
      <c r="D729" t="s">
        <v>79</v>
      </c>
      <c r="E729" t="s">
        <v>48</v>
      </c>
      <c r="F729" t="s">
        <v>44</v>
      </c>
      <c r="H729">
        <v>5</v>
      </c>
      <c r="I729">
        <v>0.05</v>
      </c>
      <c r="J729">
        <v>189.76</v>
      </c>
      <c r="K729" t="s">
        <v>29</v>
      </c>
      <c r="M729">
        <v>1</v>
      </c>
    </row>
    <row r="730" spans="1:13" x14ac:dyDescent="0.2">
      <c r="A730">
        <v>729</v>
      </c>
      <c r="B730" t="s">
        <v>56</v>
      </c>
      <c r="C730" s="1">
        <v>45399</v>
      </c>
      <c r="D730" t="s">
        <v>57</v>
      </c>
      <c r="E730" t="s">
        <v>48</v>
      </c>
      <c r="F730" t="s">
        <v>44</v>
      </c>
      <c r="H730">
        <v>4</v>
      </c>
      <c r="I730">
        <v>0.15</v>
      </c>
      <c r="J730">
        <v>289</v>
      </c>
      <c r="K730" t="s">
        <v>52</v>
      </c>
      <c r="L730" t="s">
        <v>63</v>
      </c>
      <c r="M730">
        <v>1</v>
      </c>
    </row>
    <row r="731" spans="1:13" x14ac:dyDescent="0.2">
      <c r="A731">
        <v>730</v>
      </c>
      <c r="B731" t="s">
        <v>31</v>
      </c>
      <c r="C731" s="2">
        <v>45375</v>
      </c>
      <c r="D731" t="s">
        <v>32</v>
      </c>
      <c r="E731" t="s">
        <v>33</v>
      </c>
      <c r="G731" t="s">
        <v>25</v>
      </c>
      <c r="H731">
        <v>5</v>
      </c>
      <c r="I731">
        <v>0</v>
      </c>
      <c r="J731">
        <v>399.75</v>
      </c>
      <c r="K731" t="s">
        <v>18</v>
      </c>
      <c r="L731" t="s">
        <v>45</v>
      </c>
      <c r="M731" t="b">
        <v>0</v>
      </c>
    </row>
    <row r="732" spans="1:13" x14ac:dyDescent="0.2">
      <c r="A732">
        <v>731</v>
      </c>
      <c r="B732" t="s">
        <v>46</v>
      </c>
      <c r="C732" s="1">
        <v>45257</v>
      </c>
      <c r="D732" t="s">
        <v>47</v>
      </c>
      <c r="E732" t="s">
        <v>48</v>
      </c>
      <c r="F732" t="s">
        <v>53</v>
      </c>
      <c r="G732" t="s">
        <v>54</v>
      </c>
      <c r="H732">
        <v>4</v>
      </c>
      <c r="I732">
        <v>0.1</v>
      </c>
      <c r="J732">
        <v>179.82</v>
      </c>
      <c r="K732" t="s">
        <v>80</v>
      </c>
      <c r="L732" t="s">
        <v>30</v>
      </c>
      <c r="M732">
        <v>0</v>
      </c>
    </row>
    <row r="733" spans="1:13" x14ac:dyDescent="0.2">
      <c r="A733">
        <v>732</v>
      </c>
      <c r="B733" t="s">
        <v>83</v>
      </c>
      <c r="C733" s="2">
        <v>45065</v>
      </c>
      <c r="D733" t="s">
        <v>25</v>
      </c>
      <c r="E733" t="s">
        <v>25</v>
      </c>
      <c r="F733" t="s">
        <v>53</v>
      </c>
      <c r="G733" t="s">
        <v>54</v>
      </c>
      <c r="H733">
        <v>4</v>
      </c>
      <c r="I733">
        <v>0.05</v>
      </c>
      <c r="J733">
        <v>189.81</v>
      </c>
      <c r="K733" t="s">
        <v>36</v>
      </c>
      <c r="L733" t="s">
        <v>49</v>
      </c>
      <c r="M733" t="s">
        <v>25</v>
      </c>
    </row>
    <row r="734" spans="1:13" x14ac:dyDescent="0.2">
      <c r="A734">
        <v>733</v>
      </c>
      <c r="B734" t="s">
        <v>37</v>
      </c>
      <c r="C734" s="1">
        <v>44989</v>
      </c>
      <c r="D734" t="s">
        <v>38</v>
      </c>
      <c r="E734" t="s">
        <v>39</v>
      </c>
      <c r="F734" t="s">
        <v>34</v>
      </c>
      <c r="G734" t="s">
        <v>35</v>
      </c>
      <c r="H734">
        <v>1</v>
      </c>
      <c r="I734">
        <v>0.25</v>
      </c>
      <c r="J734">
        <v>48.71</v>
      </c>
      <c r="K734" t="s">
        <v>27</v>
      </c>
      <c r="L734" t="s">
        <v>49</v>
      </c>
      <c r="M734">
        <v>1</v>
      </c>
    </row>
    <row r="735" spans="1:13" x14ac:dyDescent="0.2">
      <c r="A735">
        <v>734</v>
      </c>
      <c r="B735" t="s">
        <v>81</v>
      </c>
      <c r="C735" s="1">
        <v>45501</v>
      </c>
      <c r="D735" t="s">
        <v>82</v>
      </c>
      <c r="E735" t="s">
        <v>15</v>
      </c>
      <c r="F735" t="s">
        <v>21</v>
      </c>
      <c r="G735" t="s">
        <v>22</v>
      </c>
      <c r="H735">
        <v>3</v>
      </c>
      <c r="I735">
        <v>0.15</v>
      </c>
      <c r="J735">
        <v>203.87</v>
      </c>
      <c r="K735" t="s">
        <v>52</v>
      </c>
      <c r="L735" t="s">
        <v>28</v>
      </c>
      <c r="M735" t="s">
        <v>73</v>
      </c>
    </row>
    <row r="736" spans="1:13" x14ac:dyDescent="0.2">
      <c r="A736">
        <v>735</v>
      </c>
      <c r="B736" t="s">
        <v>88</v>
      </c>
      <c r="C736" s="2">
        <v>45099</v>
      </c>
      <c r="D736" t="s">
        <v>89</v>
      </c>
      <c r="E736" t="s">
        <v>33</v>
      </c>
      <c r="F736" t="s">
        <v>21</v>
      </c>
      <c r="G736" t="s">
        <v>22</v>
      </c>
      <c r="H736">
        <v>5</v>
      </c>
      <c r="I736">
        <v>0.1</v>
      </c>
      <c r="J736">
        <v>891</v>
      </c>
      <c r="K736" t="s">
        <v>18</v>
      </c>
      <c r="L736" t="s">
        <v>41</v>
      </c>
      <c r="M736" t="b">
        <v>0</v>
      </c>
    </row>
    <row r="737" spans="1:13" x14ac:dyDescent="0.2">
      <c r="A737">
        <v>736</v>
      </c>
      <c r="B737" t="s">
        <v>61</v>
      </c>
      <c r="C737" s="2">
        <v>45410</v>
      </c>
      <c r="D737" t="s">
        <v>62</v>
      </c>
      <c r="E737" t="s">
        <v>33</v>
      </c>
      <c r="F737" t="s">
        <v>26</v>
      </c>
      <c r="G737" t="s">
        <v>22</v>
      </c>
      <c r="H737">
        <v>5</v>
      </c>
      <c r="I737">
        <v>0.25</v>
      </c>
      <c r="J737">
        <v>131.21</v>
      </c>
      <c r="K737" t="s">
        <v>36</v>
      </c>
      <c r="L737" t="s">
        <v>28</v>
      </c>
      <c r="M737">
        <v>0</v>
      </c>
    </row>
    <row r="738" spans="1:13" x14ac:dyDescent="0.2">
      <c r="A738">
        <v>737</v>
      </c>
      <c r="B738" t="s">
        <v>78</v>
      </c>
      <c r="C738" s="1">
        <v>45211</v>
      </c>
      <c r="D738" t="s">
        <v>79</v>
      </c>
      <c r="E738" t="s">
        <v>48</v>
      </c>
      <c r="F738" t="s">
        <v>40</v>
      </c>
      <c r="G738" t="s">
        <v>17</v>
      </c>
      <c r="H738">
        <v>1</v>
      </c>
      <c r="I738">
        <v>0.05</v>
      </c>
      <c r="J738">
        <v>37.950000000000003</v>
      </c>
      <c r="K738" t="s">
        <v>36</v>
      </c>
      <c r="L738" t="s">
        <v>45</v>
      </c>
      <c r="M738">
        <v>1</v>
      </c>
    </row>
    <row r="739" spans="1:13" x14ac:dyDescent="0.2">
      <c r="A739">
        <v>738</v>
      </c>
      <c r="B739" t="s">
        <v>13</v>
      </c>
      <c r="C739" s="2">
        <v>45361</v>
      </c>
      <c r="D739" t="s">
        <v>14</v>
      </c>
      <c r="E739" t="s">
        <v>15</v>
      </c>
      <c r="F739" t="s">
        <v>66</v>
      </c>
      <c r="G739" t="s">
        <v>67</v>
      </c>
      <c r="H739">
        <v>3</v>
      </c>
      <c r="I739">
        <v>0.25</v>
      </c>
      <c r="J739">
        <v>44.98</v>
      </c>
      <c r="K739" t="s">
        <v>36</v>
      </c>
      <c r="L739" t="s">
        <v>49</v>
      </c>
      <c r="M739">
        <v>0</v>
      </c>
    </row>
    <row r="740" spans="1:13" x14ac:dyDescent="0.2">
      <c r="A740">
        <v>739</v>
      </c>
      <c r="B740" t="s">
        <v>78</v>
      </c>
      <c r="C740" s="2">
        <v>45023</v>
      </c>
      <c r="D740" t="s">
        <v>79</v>
      </c>
      <c r="E740" t="s">
        <v>48</v>
      </c>
      <c r="F740" t="s">
        <v>40</v>
      </c>
      <c r="G740" t="s">
        <v>17</v>
      </c>
      <c r="H740">
        <v>2</v>
      </c>
      <c r="I740">
        <v>0</v>
      </c>
      <c r="J740">
        <v>79.900000000000006</v>
      </c>
      <c r="K740" t="s">
        <v>52</v>
      </c>
      <c r="L740" t="s">
        <v>30</v>
      </c>
      <c r="M740">
        <v>1</v>
      </c>
    </row>
    <row r="741" spans="1:13" x14ac:dyDescent="0.2">
      <c r="A741">
        <v>740</v>
      </c>
      <c r="B741" t="s">
        <v>64</v>
      </c>
      <c r="C741" s="2">
        <v>45574</v>
      </c>
      <c r="D741" t="s">
        <v>25</v>
      </c>
      <c r="E741" t="s">
        <v>25</v>
      </c>
      <c r="F741" t="s">
        <v>53</v>
      </c>
      <c r="G741" t="s">
        <v>54</v>
      </c>
      <c r="H741">
        <v>1</v>
      </c>
      <c r="I741">
        <v>0</v>
      </c>
      <c r="J741">
        <v>74.95</v>
      </c>
      <c r="K741" t="s">
        <v>80</v>
      </c>
      <c r="M741" t="s">
        <v>25</v>
      </c>
    </row>
    <row r="742" spans="1:13" x14ac:dyDescent="0.2">
      <c r="A742">
        <v>741</v>
      </c>
      <c r="B742" t="s">
        <v>31</v>
      </c>
      <c r="C742" s="2">
        <v>44984</v>
      </c>
      <c r="D742" t="s">
        <v>32</v>
      </c>
      <c r="E742" t="s">
        <v>33</v>
      </c>
      <c r="F742" t="s">
        <v>66</v>
      </c>
      <c r="G742" t="s">
        <v>67</v>
      </c>
      <c r="H742">
        <v>2</v>
      </c>
      <c r="I742">
        <v>0</v>
      </c>
      <c r="J742">
        <v>159.9</v>
      </c>
      <c r="K742" t="s">
        <v>27</v>
      </c>
      <c r="L742" t="s">
        <v>28</v>
      </c>
      <c r="M742" t="b">
        <v>0</v>
      </c>
    </row>
    <row r="743" spans="1:13" x14ac:dyDescent="0.2">
      <c r="A743">
        <v>742</v>
      </c>
      <c r="B743" t="s">
        <v>88</v>
      </c>
      <c r="C743" s="1">
        <v>44941</v>
      </c>
      <c r="D743" t="s">
        <v>89</v>
      </c>
      <c r="E743" t="s">
        <v>33</v>
      </c>
      <c r="F743" t="s">
        <v>26</v>
      </c>
      <c r="G743" t="s">
        <v>22</v>
      </c>
      <c r="H743">
        <v>3</v>
      </c>
      <c r="I743">
        <v>0</v>
      </c>
      <c r="J743">
        <v>594</v>
      </c>
      <c r="K743" t="s">
        <v>80</v>
      </c>
      <c r="L743" t="s">
        <v>49</v>
      </c>
      <c r="M743" t="b">
        <v>0</v>
      </c>
    </row>
    <row r="744" spans="1:13" x14ac:dyDescent="0.2">
      <c r="A744">
        <v>743</v>
      </c>
      <c r="B744" t="s">
        <v>58</v>
      </c>
      <c r="C744" s="1">
        <v>45577</v>
      </c>
      <c r="D744" t="s">
        <v>59</v>
      </c>
      <c r="E744" t="s">
        <v>15</v>
      </c>
      <c r="F744" t="s">
        <v>44</v>
      </c>
      <c r="H744">
        <v>3</v>
      </c>
      <c r="I744">
        <v>0.05</v>
      </c>
      <c r="J744">
        <v>170.86</v>
      </c>
      <c r="K744" t="s">
        <v>18</v>
      </c>
      <c r="L744" t="s">
        <v>28</v>
      </c>
      <c r="M744">
        <v>1</v>
      </c>
    </row>
    <row r="745" spans="1:13" x14ac:dyDescent="0.2">
      <c r="A745">
        <v>744</v>
      </c>
      <c r="B745" t="s">
        <v>42</v>
      </c>
      <c r="C745" s="2">
        <v>45015</v>
      </c>
      <c r="D745" t="s">
        <v>43</v>
      </c>
      <c r="E745" t="s">
        <v>15</v>
      </c>
      <c r="F745" t="s">
        <v>44</v>
      </c>
      <c r="H745">
        <v>1</v>
      </c>
      <c r="I745">
        <v>0</v>
      </c>
      <c r="J745">
        <v>129</v>
      </c>
      <c r="K745" t="s">
        <v>36</v>
      </c>
      <c r="L745" t="s">
        <v>45</v>
      </c>
      <c r="M745" t="b">
        <v>1</v>
      </c>
    </row>
    <row r="746" spans="1:13" x14ac:dyDescent="0.2">
      <c r="A746">
        <v>745</v>
      </c>
      <c r="B746" t="s">
        <v>50</v>
      </c>
      <c r="C746" s="1">
        <v>45315</v>
      </c>
      <c r="D746" t="s">
        <v>51</v>
      </c>
      <c r="E746" t="s">
        <v>15</v>
      </c>
      <c r="F746" t="s">
        <v>34</v>
      </c>
      <c r="G746" t="s">
        <v>35</v>
      </c>
      <c r="H746">
        <v>2</v>
      </c>
      <c r="I746">
        <v>0</v>
      </c>
      <c r="J746">
        <v>139.9</v>
      </c>
      <c r="K746" t="s">
        <v>27</v>
      </c>
      <c r="L746" t="s">
        <v>30</v>
      </c>
      <c r="M746">
        <v>0</v>
      </c>
    </row>
    <row r="747" spans="1:13" x14ac:dyDescent="0.2">
      <c r="A747">
        <v>746</v>
      </c>
      <c r="B747" t="s">
        <v>24</v>
      </c>
      <c r="C747" s="2">
        <v>45519</v>
      </c>
      <c r="D747" t="s">
        <v>25</v>
      </c>
      <c r="E747" t="s">
        <v>25</v>
      </c>
      <c r="F747" t="s">
        <v>53</v>
      </c>
      <c r="G747" t="s">
        <v>54</v>
      </c>
      <c r="H747">
        <v>3</v>
      </c>
      <c r="I747">
        <v>0</v>
      </c>
      <c r="J747">
        <v>134.85</v>
      </c>
      <c r="K747" t="s">
        <v>52</v>
      </c>
      <c r="L747" t="s">
        <v>41</v>
      </c>
      <c r="M747" t="s">
        <v>25</v>
      </c>
    </row>
    <row r="748" spans="1:13" x14ac:dyDescent="0.2">
      <c r="A748">
        <v>747</v>
      </c>
      <c r="B748" t="s">
        <v>85</v>
      </c>
      <c r="C748" s="1">
        <v>45643</v>
      </c>
      <c r="D748" t="s">
        <v>86</v>
      </c>
      <c r="E748" t="s">
        <v>76</v>
      </c>
      <c r="F748" t="s">
        <v>34</v>
      </c>
      <c r="G748" t="s">
        <v>35</v>
      </c>
      <c r="H748">
        <v>3</v>
      </c>
      <c r="I748">
        <v>0.1</v>
      </c>
      <c r="J748">
        <v>242.87</v>
      </c>
      <c r="K748" t="s">
        <v>52</v>
      </c>
      <c r="L748" t="s">
        <v>63</v>
      </c>
      <c r="M748" t="s">
        <v>73</v>
      </c>
    </row>
    <row r="749" spans="1:13" x14ac:dyDescent="0.2">
      <c r="A749">
        <v>748</v>
      </c>
      <c r="B749" t="s">
        <v>83</v>
      </c>
      <c r="C749" s="2">
        <v>45504</v>
      </c>
      <c r="D749" t="s">
        <v>84</v>
      </c>
      <c r="E749" t="s">
        <v>48</v>
      </c>
      <c r="F749" t="s">
        <v>66</v>
      </c>
      <c r="G749" t="s">
        <v>67</v>
      </c>
      <c r="H749">
        <v>2</v>
      </c>
      <c r="I749">
        <v>0.25</v>
      </c>
      <c r="J749">
        <v>74.930000000000007</v>
      </c>
      <c r="K749" t="s">
        <v>52</v>
      </c>
      <c r="L749" t="s">
        <v>49</v>
      </c>
      <c r="M749">
        <v>0</v>
      </c>
    </row>
    <row r="750" spans="1:13" x14ac:dyDescent="0.2">
      <c r="A750">
        <v>749</v>
      </c>
      <c r="B750" t="s">
        <v>46</v>
      </c>
      <c r="C750" s="1">
        <v>45405</v>
      </c>
      <c r="D750" t="s">
        <v>47</v>
      </c>
      <c r="E750" t="s">
        <v>48</v>
      </c>
      <c r="F750" t="s">
        <v>40</v>
      </c>
      <c r="G750" t="s">
        <v>17</v>
      </c>
      <c r="H750">
        <v>2</v>
      </c>
      <c r="I750">
        <v>0.15</v>
      </c>
      <c r="J750">
        <v>84.92</v>
      </c>
      <c r="K750" t="s">
        <v>18</v>
      </c>
      <c r="L750" t="s">
        <v>30</v>
      </c>
      <c r="M750">
        <v>0</v>
      </c>
    </row>
    <row r="751" spans="1:13" x14ac:dyDescent="0.2">
      <c r="A751">
        <v>750</v>
      </c>
      <c r="B751" t="s">
        <v>64</v>
      </c>
      <c r="C751" s="2">
        <v>45337</v>
      </c>
      <c r="D751" t="s">
        <v>65</v>
      </c>
      <c r="E751" t="s">
        <v>33</v>
      </c>
      <c r="G751" t="s">
        <v>25</v>
      </c>
      <c r="H751">
        <v>3</v>
      </c>
      <c r="I751">
        <v>0.15</v>
      </c>
      <c r="J751">
        <v>191.12</v>
      </c>
      <c r="K751" t="s">
        <v>36</v>
      </c>
      <c r="L751" t="s">
        <v>41</v>
      </c>
      <c r="M751">
        <v>0</v>
      </c>
    </row>
    <row r="752" spans="1:13" x14ac:dyDescent="0.2">
      <c r="A752">
        <v>751</v>
      </c>
      <c r="B752" t="s">
        <v>81</v>
      </c>
      <c r="C752" s="1">
        <v>45538</v>
      </c>
      <c r="D752" t="s">
        <v>82</v>
      </c>
      <c r="E752" t="s">
        <v>15</v>
      </c>
      <c r="F752" t="s">
        <v>21</v>
      </c>
      <c r="G752" t="s">
        <v>22</v>
      </c>
      <c r="H752">
        <v>1</v>
      </c>
      <c r="I752">
        <v>0</v>
      </c>
      <c r="J752">
        <v>79.95</v>
      </c>
      <c r="K752" t="s">
        <v>52</v>
      </c>
      <c r="L752" t="s">
        <v>45</v>
      </c>
      <c r="M752" t="s">
        <v>73</v>
      </c>
    </row>
    <row r="753" spans="1:13" x14ac:dyDescent="0.2">
      <c r="A753">
        <v>752</v>
      </c>
      <c r="B753" t="s">
        <v>61</v>
      </c>
      <c r="C753" s="2">
        <v>45398</v>
      </c>
      <c r="D753" t="s">
        <v>62</v>
      </c>
      <c r="E753" t="s">
        <v>33</v>
      </c>
      <c r="F753" t="s">
        <v>53</v>
      </c>
      <c r="G753" t="s">
        <v>54</v>
      </c>
      <c r="H753">
        <v>3</v>
      </c>
      <c r="I753">
        <v>0.25</v>
      </c>
      <c r="J753">
        <v>78.73</v>
      </c>
      <c r="K753" t="s">
        <v>18</v>
      </c>
      <c r="L753" t="s">
        <v>28</v>
      </c>
      <c r="M753">
        <v>0</v>
      </c>
    </row>
    <row r="754" spans="1:13" x14ac:dyDescent="0.2">
      <c r="A754">
        <v>753</v>
      </c>
      <c r="B754" t="s">
        <v>56</v>
      </c>
      <c r="C754" s="2">
        <v>45279</v>
      </c>
      <c r="D754" t="s">
        <v>57</v>
      </c>
      <c r="E754" t="s">
        <v>48</v>
      </c>
      <c r="F754" t="s">
        <v>66</v>
      </c>
      <c r="G754" t="s">
        <v>67</v>
      </c>
      <c r="H754">
        <v>3</v>
      </c>
      <c r="I754">
        <v>0</v>
      </c>
      <c r="J754">
        <v>255</v>
      </c>
      <c r="K754" t="s">
        <v>18</v>
      </c>
      <c r="L754" t="s">
        <v>41</v>
      </c>
      <c r="M754">
        <v>1</v>
      </c>
    </row>
    <row r="755" spans="1:13" x14ac:dyDescent="0.2">
      <c r="A755">
        <v>754</v>
      </c>
      <c r="B755" t="s">
        <v>74</v>
      </c>
      <c r="C755" s="2">
        <v>45261</v>
      </c>
      <c r="D755" t="s">
        <v>75</v>
      </c>
      <c r="E755" t="s">
        <v>76</v>
      </c>
      <c r="F755" t="s">
        <v>16</v>
      </c>
      <c r="G755" t="s">
        <v>17</v>
      </c>
      <c r="H755">
        <v>2</v>
      </c>
      <c r="I755">
        <v>0.15</v>
      </c>
      <c r="J755">
        <v>76.42</v>
      </c>
      <c r="K755" t="s">
        <v>29</v>
      </c>
      <c r="L755" t="s">
        <v>45</v>
      </c>
      <c r="M755" t="s">
        <v>77</v>
      </c>
    </row>
    <row r="756" spans="1:13" x14ac:dyDescent="0.2">
      <c r="A756">
        <v>755</v>
      </c>
      <c r="B756" t="s">
        <v>71</v>
      </c>
      <c r="C756" s="1">
        <v>45275</v>
      </c>
      <c r="D756" t="s">
        <v>72</v>
      </c>
      <c r="E756" t="s">
        <v>33</v>
      </c>
      <c r="F756" t="s">
        <v>34</v>
      </c>
      <c r="G756" t="s">
        <v>35</v>
      </c>
      <c r="H756">
        <v>2</v>
      </c>
      <c r="I756">
        <v>0.05</v>
      </c>
      <c r="J756">
        <v>113.9</v>
      </c>
      <c r="K756" t="s">
        <v>52</v>
      </c>
      <c r="L756" t="s">
        <v>49</v>
      </c>
      <c r="M756" t="s">
        <v>73</v>
      </c>
    </row>
    <row r="757" spans="1:13" x14ac:dyDescent="0.2">
      <c r="A757">
        <v>756</v>
      </c>
      <c r="B757" t="s">
        <v>42</v>
      </c>
      <c r="C757" s="2">
        <v>45081</v>
      </c>
      <c r="D757" t="s">
        <v>43</v>
      </c>
      <c r="E757" t="s">
        <v>15</v>
      </c>
      <c r="F757" t="s">
        <v>21</v>
      </c>
      <c r="G757" t="s">
        <v>22</v>
      </c>
      <c r="H757">
        <v>3</v>
      </c>
      <c r="I757">
        <v>0.2</v>
      </c>
      <c r="J757">
        <v>309.60000000000002</v>
      </c>
      <c r="K757" t="s">
        <v>29</v>
      </c>
      <c r="L757" t="s">
        <v>45</v>
      </c>
      <c r="M757" t="b">
        <v>1</v>
      </c>
    </row>
    <row r="758" spans="1:13" x14ac:dyDescent="0.2">
      <c r="A758">
        <v>757</v>
      </c>
      <c r="B758" t="s">
        <v>24</v>
      </c>
      <c r="C758" s="2">
        <v>45341</v>
      </c>
      <c r="D758" t="s">
        <v>25</v>
      </c>
      <c r="E758" t="s">
        <v>25</v>
      </c>
      <c r="F758" t="s">
        <v>16</v>
      </c>
      <c r="G758" t="s">
        <v>17</v>
      </c>
      <c r="H758">
        <v>1</v>
      </c>
      <c r="I758">
        <v>0.15</v>
      </c>
      <c r="J758">
        <v>38.21</v>
      </c>
      <c r="K758" t="s">
        <v>36</v>
      </c>
      <c r="L758" t="s">
        <v>55</v>
      </c>
      <c r="M758" t="s">
        <v>25</v>
      </c>
    </row>
    <row r="759" spans="1:13" x14ac:dyDescent="0.2">
      <c r="A759">
        <v>758</v>
      </c>
      <c r="B759" t="s">
        <v>58</v>
      </c>
      <c r="C759" s="2">
        <v>45576</v>
      </c>
      <c r="D759" t="s">
        <v>59</v>
      </c>
      <c r="E759" t="s">
        <v>15</v>
      </c>
      <c r="F759" t="s">
        <v>21</v>
      </c>
      <c r="G759" t="s">
        <v>22</v>
      </c>
      <c r="H759">
        <v>3</v>
      </c>
      <c r="I759">
        <v>0.2</v>
      </c>
      <c r="J759">
        <v>143.88</v>
      </c>
      <c r="K759" t="s">
        <v>36</v>
      </c>
      <c r="L759" t="s">
        <v>30</v>
      </c>
      <c r="M759">
        <v>1</v>
      </c>
    </row>
    <row r="760" spans="1:13" x14ac:dyDescent="0.2">
      <c r="A760">
        <v>759</v>
      </c>
      <c r="B760" t="s">
        <v>85</v>
      </c>
      <c r="C760" s="2">
        <v>44934</v>
      </c>
      <c r="D760" t="s">
        <v>86</v>
      </c>
      <c r="E760" t="s">
        <v>76</v>
      </c>
      <c r="F760" t="s">
        <v>66</v>
      </c>
      <c r="G760" t="s">
        <v>67</v>
      </c>
      <c r="H760">
        <v>5</v>
      </c>
      <c r="I760">
        <v>0.2</v>
      </c>
      <c r="J760">
        <v>359.8</v>
      </c>
      <c r="K760" t="s">
        <v>18</v>
      </c>
      <c r="L760" t="s">
        <v>55</v>
      </c>
      <c r="M760" t="s">
        <v>73</v>
      </c>
    </row>
    <row r="761" spans="1:13" x14ac:dyDescent="0.2">
      <c r="A761">
        <v>760</v>
      </c>
      <c r="B761" t="s">
        <v>46</v>
      </c>
      <c r="C761" s="1">
        <v>45540</v>
      </c>
      <c r="D761" t="s">
        <v>47</v>
      </c>
      <c r="E761" t="s">
        <v>48</v>
      </c>
      <c r="F761" t="s">
        <v>26</v>
      </c>
      <c r="G761" t="s">
        <v>22</v>
      </c>
      <c r="H761">
        <v>4</v>
      </c>
      <c r="I761">
        <v>0.25</v>
      </c>
      <c r="J761">
        <v>149.85</v>
      </c>
      <c r="K761" t="s">
        <v>27</v>
      </c>
      <c r="L761" t="s">
        <v>49</v>
      </c>
      <c r="M761">
        <v>0</v>
      </c>
    </row>
    <row r="762" spans="1:13" x14ac:dyDescent="0.2">
      <c r="A762">
        <v>761</v>
      </c>
      <c r="B762" t="s">
        <v>88</v>
      </c>
      <c r="C762" s="1">
        <v>44964</v>
      </c>
      <c r="D762" t="s">
        <v>89</v>
      </c>
      <c r="E762" t="s">
        <v>33</v>
      </c>
      <c r="F762" t="s">
        <v>44</v>
      </c>
      <c r="H762">
        <v>3</v>
      </c>
      <c r="I762">
        <v>0</v>
      </c>
      <c r="J762">
        <v>594</v>
      </c>
      <c r="K762" t="s">
        <v>52</v>
      </c>
      <c r="L762" t="s">
        <v>55</v>
      </c>
      <c r="M762" t="b">
        <v>0</v>
      </c>
    </row>
    <row r="763" spans="1:13" x14ac:dyDescent="0.2">
      <c r="A763">
        <v>762</v>
      </c>
      <c r="B763" t="s">
        <v>71</v>
      </c>
      <c r="C763" s="2">
        <v>45261</v>
      </c>
      <c r="D763" t="s">
        <v>72</v>
      </c>
      <c r="E763" t="s">
        <v>33</v>
      </c>
      <c r="G763" t="s">
        <v>25</v>
      </c>
      <c r="H763">
        <v>2</v>
      </c>
      <c r="I763">
        <v>0.25</v>
      </c>
      <c r="J763">
        <v>89.93</v>
      </c>
      <c r="K763" t="s">
        <v>27</v>
      </c>
      <c r="L763" t="s">
        <v>23</v>
      </c>
      <c r="M763" t="s">
        <v>73</v>
      </c>
    </row>
    <row r="764" spans="1:13" x14ac:dyDescent="0.2">
      <c r="A764">
        <v>763</v>
      </c>
      <c r="B764" t="s">
        <v>85</v>
      </c>
      <c r="C764" s="1">
        <v>45190</v>
      </c>
      <c r="D764" t="s">
        <v>86</v>
      </c>
      <c r="E764" t="s">
        <v>76</v>
      </c>
      <c r="F764" t="s">
        <v>53</v>
      </c>
      <c r="G764" t="s">
        <v>54</v>
      </c>
      <c r="H764">
        <v>4</v>
      </c>
      <c r="I764">
        <v>0</v>
      </c>
      <c r="J764">
        <v>359.8</v>
      </c>
      <c r="K764" t="s">
        <v>36</v>
      </c>
      <c r="L764" t="s">
        <v>45</v>
      </c>
      <c r="M764" t="s">
        <v>73</v>
      </c>
    </row>
    <row r="765" spans="1:13" x14ac:dyDescent="0.2">
      <c r="A765">
        <v>764</v>
      </c>
      <c r="B765" t="s">
        <v>58</v>
      </c>
      <c r="C765" s="1">
        <v>45208</v>
      </c>
      <c r="D765" t="s">
        <v>59</v>
      </c>
      <c r="E765" t="s">
        <v>15</v>
      </c>
      <c r="F765" t="s">
        <v>34</v>
      </c>
      <c r="G765" t="s">
        <v>35</v>
      </c>
      <c r="H765">
        <v>3</v>
      </c>
      <c r="I765" t="s">
        <v>60</v>
      </c>
      <c r="J765">
        <v>179.85</v>
      </c>
      <c r="K765" t="s">
        <v>29</v>
      </c>
      <c r="L765" t="s">
        <v>63</v>
      </c>
      <c r="M765">
        <v>1</v>
      </c>
    </row>
    <row r="766" spans="1:13" x14ac:dyDescent="0.2">
      <c r="A766">
        <v>765</v>
      </c>
      <c r="B766" t="s">
        <v>85</v>
      </c>
      <c r="C766" s="1">
        <v>45540</v>
      </c>
      <c r="D766" t="s">
        <v>86</v>
      </c>
      <c r="E766" t="s">
        <v>76</v>
      </c>
      <c r="F766" t="s">
        <v>26</v>
      </c>
      <c r="G766" t="s">
        <v>22</v>
      </c>
      <c r="H766">
        <v>2</v>
      </c>
      <c r="I766">
        <v>0.1</v>
      </c>
      <c r="J766">
        <v>161.91</v>
      </c>
      <c r="K766" t="s">
        <v>29</v>
      </c>
      <c r="L766" t="s">
        <v>30</v>
      </c>
      <c r="M766" t="s">
        <v>73</v>
      </c>
    </row>
    <row r="767" spans="1:13" x14ac:dyDescent="0.2">
      <c r="A767">
        <v>766</v>
      </c>
      <c r="B767" t="s">
        <v>71</v>
      </c>
      <c r="C767" s="2">
        <v>44939</v>
      </c>
      <c r="D767" t="s">
        <v>72</v>
      </c>
      <c r="E767" t="s">
        <v>33</v>
      </c>
      <c r="F767" t="s">
        <v>21</v>
      </c>
      <c r="G767" t="s">
        <v>22</v>
      </c>
      <c r="H767">
        <v>3</v>
      </c>
      <c r="I767">
        <v>0.2</v>
      </c>
      <c r="J767">
        <v>143.88</v>
      </c>
      <c r="K767" t="s">
        <v>80</v>
      </c>
      <c r="L767" t="s">
        <v>41</v>
      </c>
      <c r="M767" t="s">
        <v>73</v>
      </c>
    </row>
    <row r="768" spans="1:13" x14ac:dyDescent="0.2">
      <c r="A768">
        <v>767</v>
      </c>
      <c r="B768" t="s">
        <v>74</v>
      </c>
      <c r="C768" s="2">
        <v>45280</v>
      </c>
      <c r="D768" t="s">
        <v>75</v>
      </c>
      <c r="E768" t="s">
        <v>76</v>
      </c>
      <c r="F768" t="s">
        <v>53</v>
      </c>
      <c r="G768" t="s">
        <v>54</v>
      </c>
      <c r="H768">
        <v>1</v>
      </c>
      <c r="I768">
        <v>0</v>
      </c>
      <c r="J768">
        <v>44.95</v>
      </c>
      <c r="K768" t="s">
        <v>80</v>
      </c>
      <c r="M768" t="s">
        <v>77</v>
      </c>
    </row>
    <row r="769" spans="1:13" x14ac:dyDescent="0.2">
      <c r="A769">
        <v>768</v>
      </c>
      <c r="B769" t="s">
        <v>71</v>
      </c>
      <c r="C769" s="1">
        <v>45217</v>
      </c>
      <c r="D769" t="s">
        <v>72</v>
      </c>
      <c r="E769" t="s">
        <v>33</v>
      </c>
      <c r="F769" t="s">
        <v>66</v>
      </c>
      <c r="G769" t="s">
        <v>67</v>
      </c>
      <c r="H769">
        <v>3</v>
      </c>
      <c r="I769">
        <v>0.2</v>
      </c>
      <c r="J769">
        <v>143.88</v>
      </c>
      <c r="K769" t="s">
        <v>27</v>
      </c>
      <c r="L769" t="s">
        <v>28</v>
      </c>
      <c r="M769" t="s">
        <v>73</v>
      </c>
    </row>
    <row r="770" spans="1:13" x14ac:dyDescent="0.2">
      <c r="A770">
        <v>769</v>
      </c>
      <c r="B770" t="s">
        <v>46</v>
      </c>
      <c r="C770" s="1">
        <v>45337</v>
      </c>
      <c r="D770" t="s">
        <v>47</v>
      </c>
      <c r="E770" t="s">
        <v>48</v>
      </c>
      <c r="F770" t="s">
        <v>34</v>
      </c>
      <c r="G770" t="s">
        <v>35</v>
      </c>
      <c r="H770">
        <v>5</v>
      </c>
      <c r="I770">
        <v>0.1</v>
      </c>
      <c r="J770">
        <v>224.78</v>
      </c>
      <c r="K770" t="s">
        <v>18</v>
      </c>
      <c r="L770" t="s">
        <v>45</v>
      </c>
      <c r="M770">
        <v>0</v>
      </c>
    </row>
    <row r="771" spans="1:13" x14ac:dyDescent="0.2">
      <c r="A771">
        <v>770</v>
      </c>
      <c r="B771" t="s">
        <v>78</v>
      </c>
      <c r="C771" s="2">
        <v>45433</v>
      </c>
      <c r="D771" t="s">
        <v>25</v>
      </c>
      <c r="E771" t="s">
        <v>25</v>
      </c>
      <c r="F771" t="s">
        <v>40</v>
      </c>
      <c r="G771" t="s">
        <v>17</v>
      </c>
      <c r="H771">
        <v>5</v>
      </c>
      <c r="I771">
        <v>0.2</v>
      </c>
      <c r="J771">
        <v>159.80000000000001</v>
      </c>
      <c r="K771" t="s">
        <v>29</v>
      </c>
      <c r="L771" t="s">
        <v>63</v>
      </c>
      <c r="M771" t="s">
        <v>25</v>
      </c>
    </row>
    <row r="772" spans="1:13" x14ac:dyDescent="0.2">
      <c r="A772">
        <v>771</v>
      </c>
      <c r="B772" t="s">
        <v>46</v>
      </c>
      <c r="C772" s="1">
        <v>45120</v>
      </c>
      <c r="D772" t="s">
        <v>47</v>
      </c>
      <c r="E772" t="s">
        <v>48</v>
      </c>
      <c r="G772" t="s">
        <v>25</v>
      </c>
      <c r="H772">
        <v>4</v>
      </c>
      <c r="I772">
        <v>0.2</v>
      </c>
      <c r="J772">
        <v>159.84</v>
      </c>
      <c r="K772" t="s">
        <v>29</v>
      </c>
      <c r="L772" t="s">
        <v>28</v>
      </c>
      <c r="M772">
        <v>0</v>
      </c>
    </row>
    <row r="773" spans="1:13" x14ac:dyDescent="0.2">
      <c r="A773">
        <v>772</v>
      </c>
      <c r="B773" t="s">
        <v>81</v>
      </c>
      <c r="C773" s="1">
        <v>45542</v>
      </c>
      <c r="D773" t="s">
        <v>82</v>
      </c>
      <c r="E773" t="s">
        <v>15</v>
      </c>
      <c r="F773" t="s">
        <v>66</v>
      </c>
      <c r="G773" t="s">
        <v>67</v>
      </c>
      <c r="H773">
        <v>4</v>
      </c>
      <c r="I773">
        <v>0</v>
      </c>
      <c r="J773">
        <v>319.8</v>
      </c>
      <c r="K773" t="s">
        <v>27</v>
      </c>
      <c r="L773" t="s">
        <v>49</v>
      </c>
      <c r="M773" t="s">
        <v>73</v>
      </c>
    </row>
    <row r="774" spans="1:13" x14ac:dyDescent="0.2">
      <c r="A774">
        <v>773</v>
      </c>
      <c r="B774" t="s">
        <v>88</v>
      </c>
      <c r="C774" s="1">
        <v>45138</v>
      </c>
      <c r="D774" t="s">
        <v>89</v>
      </c>
      <c r="E774" t="s">
        <v>33</v>
      </c>
      <c r="F774" t="s">
        <v>34</v>
      </c>
      <c r="G774" t="s">
        <v>35</v>
      </c>
      <c r="H774">
        <v>2</v>
      </c>
      <c r="I774">
        <v>0.1</v>
      </c>
      <c r="J774">
        <v>356.4</v>
      </c>
      <c r="K774" t="s">
        <v>27</v>
      </c>
      <c r="L774" t="s">
        <v>55</v>
      </c>
      <c r="M774" t="b">
        <v>0</v>
      </c>
    </row>
    <row r="775" spans="1:13" x14ac:dyDescent="0.2">
      <c r="A775">
        <v>774</v>
      </c>
      <c r="B775" t="s">
        <v>31</v>
      </c>
      <c r="C775" s="1">
        <v>44960</v>
      </c>
      <c r="D775" t="s">
        <v>32</v>
      </c>
      <c r="E775" t="s">
        <v>33</v>
      </c>
      <c r="F775" t="s">
        <v>40</v>
      </c>
      <c r="G775" t="s">
        <v>17</v>
      </c>
      <c r="H775">
        <v>2</v>
      </c>
      <c r="I775">
        <v>0.25</v>
      </c>
      <c r="J775">
        <v>119.93</v>
      </c>
      <c r="K775" t="s">
        <v>27</v>
      </c>
      <c r="L775" t="s">
        <v>55</v>
      </c>
      <c r="M775" t="b">
        <v>0</v>
      </c>
    </row>
    <row r="776" spans="1:13" x14ac:dyDescent="0.2">
      <c r="A776">
        <v>775</v>
      </c>
      <c r="B776" t="s">
        <v>71</v>
      </c>
      <c r="C776" s="2">
        <v>44988</v>
      </c>
      <c r="D776" t="s">
        <v>72</v>
      </c>
      <c r="E776" t="s">
        <v>33</v>
      </c>
      <c r="F776" t="s">
        <v>16</v>
      </c>
      <c r="G776" t="s">
        <v>17</v>
      </c>
      <c r="H776">
        <v>5</v>
      </c>
      <c r="I776" t="s">
        <v>60</v>
      </c>
      <c r="J776">
        <v>299.75</v>
      </c>
      <c r="K776" t="s">
        <v>29</v>
      </c>
      <c r="L776" t="s">
        <v>41</v>
      </c>
      <c r="M776" t="s">
        <v>73</v>
      </c>
    </row>
    <row r="777" spans="1:13" x14ac:dyDescent="0.2">
      <c r="A777">
        <v>776</v>
      </c>
      <c r="B777" t="s">
        <v>46</v>
      </c>
      <c r="C777" s="2">
        <v>45100</v>
      </c>
      <c r="D777" t="s">
        <v>47</v>
      </c>
      <c r="E777" t="s">
        <v>48</v>
      </c>
      <c r="F777" t="s">
        <v>16</v>
      </c>
      <c r="G777" t="s">
        <v>17</v>
      </c>
      <c r="H777">
        <v>2</v>
      </c>
      <c r="I777">
        <v>0.1</v>
      </c>
      <c r="J777">
        <v>89.91</v>
      </c>
      <c r="K777" t="s">
        <v>36</v>
      </c>
      <c r="L777" t="s">
        <v>55</v>
      </c>
      <c r="M777">
        <v>0</v>
      </c>
    </row>
    <row r="778" spans="1:13" x14ac:dyDescent="0.2">
      <c r="A778">
        <v>777</v>
      </c>
      <c r="B778" t="s">
        <v>19</v>
      </c>
      <c r="C778" s="2">
        <v>45382</v>
      </c>
      <c r="D778" t="s">
        <v>20</v>
      </c>
      <c r="E778" t="s">
        <v>15</v>
      </c>
      <c r="F778" t="s">
        <v>44</v>
      </c>
      <c r="H778">
        <v>3</v>
      </c>
      <c r="I778">
        <v>0.15</v>
      </c>
      <c r="J778">
        <v>229.37</v>
      </c>
      <c r="K778" t="s">
        <v>36</v>
      </c>
      <c r="L778" t="s">
        <v>30</v>
      </c>
      <c r="M778" t="b">
        <v>1</v>
      </c>
    </row>
    <row r="779" spans="1:13" x14ac:dyDescent="0.2">
      <c r="A779">
        <v>778</v>
      </c>
      <c r="B779" t="s">
        <v>81</v>
      </c>
      <c r="C779" s="1">
        <v>45089</v>
      </c>
      <c r="D779" t="s">
        <v>82</v>
      </c>
      <c r="E779" t="s">
        <v>15</v>
      </c>
      <c r="F779" t="s">
        <v>40</v>
      </c>
      <c r="G779" t="s">
        <v>17</v>
      </c>
      <c r="H779">
        <v>3</v>
      </c>
      <c r="I779">
        <v>0.1</v>
      </c>
      <c r="J779">
        <v>215.87</v>
      </c>
      <c r="K779" t="s">
        <v>36</v>
      </c>
      <c r="L779" t="s">
        <v>30</v>
      </c>
      <c r="M779" t="s">
        <v>73</v>
      </c>
    </row>
    <row r="780" spans="1:13" x14ac:dyDescent="0.2">
      <c r="A780">
        <v>779</v>
      </c>
      <c r="B780" t="s">
        <v>64</v>
      </c>
      <c r="C780" s="2">
        <v>45237</v>
      </c>
      <c r="D780" t="s">
        <v>65</v>
      </c>
      <c r="E780" t="s">
        <v>33</v>
      </c>
      <c r="F780" t="s">
        <v>21</v>
      </c>
      <c r="G780" t="s">
        <v>22</v>
      </c>
      <c r="H780">
        <v>2</v>
      </c>
      <c r="I780">
        <v>0</v>
      </c>
      <c r="J780">
        <v>149.9</v>
      </c>
      <c r="K780" t="s">
        <v>80</v>
      </c>
      <c r="L780" t="s">
        <v>63</v>
      </c>
      <c r="M780">
        <v>0</v>
      </c>
    </row>
    <row r="781" spans="1:13" x14ac:dyDescent="0.2">
      <c r="A781">
        <v>780</v>
      </c>
      <c r="B781" t="s">
        <v>61</v>
      </c>
      <c r="C781" s="1">
        <v>45423</v>
      </c>
      <c r="D781" t="s">
        <v>62</v>
      </c>
      <c r="E781" t="s">
        <v>33</v>
      </c>
      <c r="F781" t="s">
        <v>40</v>
      </c>
      <c r="G781" t="s">
        <v>17</v>
      </c>
      <c r="H781">
        <v>5</v>
      </c>
      <c r="I781">
        <v>0.15</v>
      </c>
      <c r="J781">
        <v>148.71</v>
      </c>
      <c r="K781" t="s">
        <v>29</v>
      </c>
      <c r="L781" t="s">
        <v>49</v>
      </c>
      <c r="M781">
        <v>0</v>
      </c>
    </row>
    <row r="782" spans="1:13" x14ac:dyDescent="0.2">
      <c r="A782">
        <v>781</v>
      </c>
      <c r="B782" t="s">
        <v>61</v>
      </c>
      <c r="C782" s="2">
        <v>45437</v>
      </c>
      <c r="D782" t="s">
        <v>62</v>
      </c>
      <c r="E782" t="s">
        <v>33</v>
      </c>
      <c r="F782" t="s">
        <v>34</v>
      </c>
      <c r="G782" t="s">
        <v>35</v>
      </c>
      <c r="H782">
        <v>3</v>
      </c>
      <c r="I782">
        <v>0</v>
      </c>
      <c r="J782">
        <v>104.97</v>
      </c>
      <c r="K782" t="s">
        <v>52</v>
      </c>
      <c r="L782" t="s">
        <v>63</v>
      </c>
      <c r="M782">
        <v>0</v>
      </c>
    </row>
    <row r="783" spans="1:13" x14ac:dyDescent="0.2">
      <c r="A783">
        <v>782</v>
      </c>
      <c r="B783" t="s">
        <v>58</v>
      </c>
      <c r="C783" s="2">
        <v>44995</v>
      </c>
      <c r="D783" t="s">
        <v>25</v>
      </c>
      <c r="E783" t="s">
        <v>25</v>
      </c>
      <c r="F783" t="s">
        <v>40</v>
      </c>
      <c r="G783" t="s">
        <v>17</v>
      </c>
      <c r="H783">
        <v>4</v>
      </c>
      <c r="I783">
        <v>0</v>
      </c>
      <c r="J783">
        <v>239.8</v>
      </c>
      <c r="K783" t="s">
        <v>80</v>
      </c>
      <c r="L783" t="s">
        <v>49</v>
      </c>
      <c r="M783" t="s">
        <v>25</v>
      </c>
    </row>
    <row r="784" spans="1:13" x14ac:dyDescent="0.2">
      <c r="A784">
        <v>783</v>
      </c>
      <c r="B784" t="s">
        <v>31</v>
      </c>
      <c r="C784" s="1">
        <v>44968</v>
      </c>
      <c r="D784" t="s">
        <v>32</v>
      </c>
      <c r="E784" t="s">
        <v>33</v>
      </c>
      <c r="F784" t="s">
        <v>53</v>
      </c>
      <c r="G784" t="s">
        <v>54</v>
      </c>
      <c r="H784">
        <v>2</v>
      </c>
      <c r="I784">
        <v>0.05</v>
      </c>
      <c r="J784">
        <v>151.9</v>
      </c>
      <c r="K784" t="s">
        <v>18</v>
      </c>
      <c r="L784" t="s">
        <v>41</v>
      </c>
      <c r="M784" t="b">
        <v>0</v>
      </c>
    </row>
    <row r="785" spans="1:13" x14ac:dyDescent="0.2">
      <c r="A785">
        <v>784</v>
      </c>
      <c r="B785" t="s">
        <v>19</v>
      </c>
      <c r="C785" s="2">
        <v>45476</v>
      </c>
      <c r="D785" t="s">
        <v>20</v>
      </c>
      <c r="E785" t="s">
        <v>15</v>
      </c>
      <c r="F785" t="s">
        <v>34</v>
      </c>
      <c r="G785" t="s">
        <v>35</v>
      </c>
      <c r="H785">
        <v>2</v>
      </c>
      <c r="I785">
        <v>0.25</v>
      </c>
      <c r="J785">
        <v>134.93</v>
      </c>
      <c r="K785" t="s">
        <v>27</v>
      </c>
      <c r="L785" t="s">
        <v>41</v>
      </c>
      <c r="M785" t="b">
        <v>1</v>
      </c>
    </row>
    <row r="786" spans="1:13" x14ac:dyDescent="0.2">
      <c r="A786">
        <v>785</v>
      </c>
      <c r="B786" t="s">
        <v>50</v>
      </c>
      <c r="C786" s="1">
        <v>45380</v>
      </c>
      <c r="D786" t="s">
        <v>51</v>
      </c>
      <c r="E786" t="s">
        <v>15</v>
      </c>
      <c r="F786" t="s">
        <v>44</v>
      </c>
      <c r="H786">
        <v>5</v>
      </c>
      <c r="I786">
        <v>0</v>
      </c>
      <c r="J786">
        <v>349.75</v>
      </c>
      <c r="K786" t="s">
        <v>27</v>
      </c>
      <c r="L786" t="s">
        <v>28</v>
      </c>
      <c r="M786">
        <v>0</v>
      </c>
    </row>
    <row r="787" spans="1:13" x14ac:dyDescent="0.2">
      <c r="A787">
        <v>786</v>
      </c>
      <c r="B787" t="s">
        <v>88</v>
      </c>
      <c r="C787" s="2">
        <v>45233</v>
      </c>
      <c r="D787" t="s">
        <v>89</v>
      </c>
      <c r="E787" t="s">
        <v>33</v>
      </c>
      <c r="F787" t="s">
        <v>66</v>
      </c>
      <c r="G787" t="s">
        <v>67</v>
      </c>
      <c r="H787">
        <v>5</v>
      </c>
      <c r="I787">
        <v>0.25</v>
      </c>
      <c r="J787">
        <v>742.5</v>
      </c>
      <c r="K787" t="s">
        <v>36</v>
      </c>
      <c r="L787" t="s">
        <v>30</v>
      </c>
      <c r="M787" t="b">
        <v>0</v>
      </c>
    </row>
    <row r="788" spans="1:13" x14ac:dyDescent="0.2">
      <c r="A788">
        <v>787</v>
      </c>
      <c r="B788" t="s">
        <v>13</v>
      </c>
      <c r="C788" s="2">
        <v>45110</v>
      </c>
      <c r="D788" t="s">
        <v>14</v>
      </c>
      <c r="E788" t="s">
        <v>15</v>
      </c>
      <c r="F788" t="s">
        <v>44</v>
      </c>
      <c r="H788">
        <v>3</v>
      </c>
      <c r="I788">
        <v>0.25</v>
      </c>
      <c r="J788">
        <v>44.98</v>
      </c>
      <c r="K788" t="s">
        <v>18</v>
      </c>
      <c r="L788" t="s">
        <v>41</v>
      </c>
      <c r="M788">
        <v>0</v>
      </c>
    </row>
    <row r="789" spans="1:13" x14ac:dyDescent="0.2">
      <c r="A789">
        <v>788</v>
      </c>
      <c r="B789" t="s">
        <v>19</v>
      </c>
      <c r="C789" s="2">
        <v>45470</v>
      </c>
      <c r="D789" t="s">
        <v>20</v>
      </c>
      <c r="E789" t="s">
        <v>15</v>
      </c>
      <c r="F789" t="s">
        <v>16</v>
      </c>
      <c r="G789" t="s">
        <v>17</v>
      </c>
      <c r="H789">
        <v>2</v>
      </c>
      <c r="I789">
        <v>0.1</v>
      </c>
      <c r="J789">
        <v>161.91</v>
      </c>
      <c r="K789" t="s">
        <v>52</v>
      </c>
      <c r="L789" t="s">
        <v>30</v>
      </c>
      <c r="M789" t="b">
        <v>1</v>
      </c>
    </row>
    <row r="790" spans="1:13" x14ac:dyDescent="0.2">
      <c r="A790">
        <v>789</v>
      </c>
      <c r="B790" t="s">
        <v>71</v>
      </c>
      <c r="C790" s="2">
        <v>45536</v>
      </c>
      <c r="D790" t="s">
        <v>72</v>
      </c>
      <c r="E790" t="s">
        <v>33</v>
      </c>
      <c r="F790" t="s">
        <v>66</v>
      </c>
      <c r="G790" t="s">
        <v>67</v>
      </c>
      <c r="H790">
        <v>2</v>
      </c>
      <c r="I790">
        <v>0.15</v>
      </c>
      <c r="J790">
        <v>101.92</v>
      </c>
      <c r="K790" t="s">
        <v>36</v>
      </c>
      <c r="L790" t="s">
        <v>41</v>
      </c>
      <c r="M790" t="s">
        <v>73</v>
      </c>
    </row>
    <row r="791" spans="1:13" x14ac:dyDescent="0.2">
      <c r="A791">
        <v>790</v>
      </c>
      <c r="B791" t="s">
        <v>88</v>
      </c>
      <c r="C791" s="2">
        <v>45329</v>
      </c>
      <c r="D791" t="s">
        <v>89</v>
      </c>
      <c r="E791" t="s">
        <v>33</v>
      </c>
      <c r="G791" t="s">
        <v>25</v>
      </c>
      <c r="H791">
        <v>4</v>
      </c>
      <c r="I791">
        <v>0.1</v>
      </c>
      <c r="J791">
        <v>712.8</v>
      </c>
      <c r="K791" t="s">
        <v>80</v>
      </c>
      <c r="L791" t="s">
        <v>28</v>
      </c>
      <c r="M791" t="b">
        <v>0</v>
      </c>
    </row>
    <row r="792" spans="1:13" x14ac:dyDescent="0.2">
      <c r="A792">
        <v>791</v>
      </c>
      <c r="B792" t="s">
        <v>37</v>
      </c>
      <c r="C792" s="2">
        <v>45256</v>
      </c>
      <c r="D792" t="s">
        <v>38</v>
      </c>
      <c r="E792" t="s">
        <v>39</v>
      </c>
      <c r="F792" t="s">
        <v>34</v>
      </c>
      <c r="G792" t="s">
        <v>35</v>
      </c>
      <c r="H792">
        <v>3</v>
      </c>
      <c r="I792">
        <v>0.1</v>
      </c>
      <c r="J792">
        <v>175.37</v>
      </c>
      <c r="K792" t="s">
        <v>27</v>
      </c>
      <c r="L792" t="s">
        <v>49</v>
      </c>
      <c r="M792">
        <v>1</v>
      </c>
    </row>
    <row r="793" spans="1:13" x14ac:dyDescent="0.2">
      <c r="A793">
        <v>792</v>
      </c>
      <c r="B793" t="s">
        <v>31</v>
      </c>
      <c r="C793" s="2">
        <v>45602</v>
      </c>
      <c r="D793" t="s">
        <v>32</v>
      </c>
      <c r="E793" t="s">
        <v>33</v>
      </c>
      <c r="F793" t="s">
        <v>34</v>
      </c>
      <c r="G793" t="s">
        <v>35</v>
      </c>
      <c r="H793">
        <v>3</v>
      </c>
      <c r="I793">
        <v>0.25</v>
      </c>
      <c r="J793">
        <v>179.89</v>
      </c>
      <c r="K793" t="s">
        <v>27</v>
      </c>
      <c r="L793" t="s">
        <v>41</v>
      </c>
      <c r="M793" t="b">
        <v>0</v>
      </c>
    </row>
    <row r="794" spans="1:13" x14ac:dyDescent="0.2">
      <c r="A794">
        <v>793</v>
      </c>
      <c r="B794" t="s">
        <v>56</v>
      </c>
      <c r="C794" s="2">
        <v>45410</v>
      </c>
      <c r="D794" t="s">
        <v>57</v>
      </c>
      <c r="E794" t="s">
        <v>48</v>
      </c>
      <c r="F794" t="s">
        <v>53</v>
      </c>
      <c r="G794" t="s">
        <v>54</v>
      </c>
      <c r="H794">
        <v>3</v>
      </c>
      <c r="I794">
        <v>0.25</v>
      </c>
      <c r="J794">
        <v>191.25</v>
      </c>
      <c r="K794" t="s">
        <v>27</v>
      </c>
      <c r="L794" t="s">
        <v>30</v>
      </c>
      <c r="M794">
        <v>1</v>
      </c>
    </row>
    <row r="795" spans="1:13" x14ac:dyDescent="0.2">
      <c r="A795">
        <v>794</v>
      </c>
      <c r="B795" t="s">
        <v>56</v>
      </c>
      <c r="C795" s="1">
        <v>45513</v>
      </c>
      <c r="D795" t="s">
        <v>57</v>
      </c>
      <c r="E795" t="s">
        <v>48</v>
      </c>
      <c r="F795" t="s">
        <v>34</v>
      </c>
      <c r="G795" t="s">
        <v>35</v>
      </c>
      <c r="H795">
        <v>1</v>
      </c>
      <c r="I795">
        <v>0.25</v>
      </c>
      <c r="J795">
        <v>63.75</v>
      </c>
      <c r="K795" t="s">
        <v>52</v>
      </c>
      <c r="M795">
        <v>1</v>
      </c>
    </row>
    <row r="796" spans="1:13" x14ac:dyDescent="0.2">
      <c r="A796">
        <v>795</v>
      </c>
      <c r="B796" t="s">
        <v>68</v>
      </c>
      <c r="C796" s="2">
        <v>45406</v>
      </c>
      <c r="D796" t="s">
        <v>69</v>
      </c>
      <c r="E796" t="s">
        <v>33</v>
      </c>
      <c r="F796" t="s">
        <v>40</v>
      </c>
      <c r="G796" t="s">
        <v>17</v>
      </c>
      <c r="H796">
        <v>4</v>
      </c>
      <c r="I796">
        <v>0.05</v>
      </c>
      <c r="J796">
        <v>452.2</v>
      </c>
      <c r="K796" t="s">
        <v>52</v>
      </c>
      <c r="M796" t="b">
        <v>0</v>
      </c>
    </row>
    <row r="797" spans="1:13" x14ac:dyDescent="0.2">
      <c r="A797">
        <v>796</v>
      </c>
      <c r="B797" t="s">
        <v>85</v>
      </c>
      <c r="C797" s="1">
        <v>44988</v>
      </c>
      <c r="D797" t="s">
        <v>86</v>
      </c>
      <c r="E797" t="s">
        <v>76</v>
      </c>
      <c r="F797" t="s">
        <v>21</v>
      </c>
      <c r="G797" t="s">
        <v>22</v>
      </c>
      <c r="H797">
        <v>4</v>
      </c>
      <c r="I797">
        <v>0.25</v>
      </c>
      <c r="J797">
        <v>269.85000000000002</v>
      </c>
      <c r="K797" t="s">
        <v>80</v>
      </c>
      <c r="L797" t="s">
        <v>23</v>
      </c>
      <c r="M797" t="s">
        <v>73</v>
      </c>
    </row>
    <row r="798" spans="1:13" x14ac:dyDescent="0.2">
      <c r="A798">
        <v>797</v>
      </c>
      <c r="B798" t="s">
        <v>42</v>
      </c>
      <c r="C798" s="1">
        <v>45089</v>
      </c>
      <c r="D798" t="s">
        <v>43</v>
      </c>
      <c r="E798" t="s">
        <v>15</v>
      </c>
      <c r="F798" t="s">
        <v>40</v>
      </c>
      <c r="G798" t="s">
        <v>17</v>
      </c>
      <c r="H798">
        <v>1</v>
      </c>
      <c r="I798">
        <v>0</v>
      </c>
      <c r="J798">
        <v>129</v>
      </c>
      <c r="K798" t="s">
        <v>80</v>
      </c>
      <c r="L798" t="s">
        <v>55</v>
      </c>
      <c r="M798" t="b">
        <v>1</v>
      </c>
    </row>
    <row r="799" spans="1:13" x14ac:dyDescent="0.2">
      <c r="A799">
        <v>798</v>
      </c>
      <c r="B799" t="s">
        <v>64</v>
      </c>
      <c r="C799" s="2">
        <v>45265</v>
      </c>
      <c r="D799" t="s">
        <v>65</v>
      </c>
      <c r="E799" t="s">
        <v>33</v>
      </c>
      <c r="F799" t="s">
        <v>21</v>
      </c>
      <c r="G799" t="s">
        <v>22</v>
      </c>
      <c r="H799">
        <v>4</v>
      </c>
      <c r="I799">
        <v>0.25</v>
      </c>
      <c r="J799">
        <v>224.85</v>
      </c>
      <c r="K799" t="s">
        <v>36</v>
      </c>
      <c r="L799" t="s">
        <v>45</v>
      </c>
      <c r="M799">
        <v>0</v>
      </c>
    </row>
    <row r="800" spans="1:13" x14ac:dyDescent="0.2">
      <c r="A800">
        <v>799</v>
      </c>
      <c r="B800" t="s">
        <v>13</v>
      </c>
      <c r="C800" s="2">
        <v>45157</v>
      </c>
      <c r="D800" t="s">
        <v>14</v>
      </c>
      <c r="E800" t="s">
        <v>15</v>
      </c>
      <c r="F800" t="s">
        <v>53</v>
      </c>
      <c r="G800" t="s">
        <v>54</v>
      </c>
      <c r="H800">
        <v>5</v>
      </c>
      <c r="I800">
        <v>0.2</v>
      </c>
      <c r="J800">
        <v>79.959999999999994</v>
      </c>
      <c r="K800" t="s">
        <v>27</v>
      </c>
      <c r="L800" t="s">
        <v>23</v>
      </c>
      <c r="M800">
        <v>0</v>
      </c>
    </row>
    <row r="801" spans="1:13" x14ac:dyDescent="0.2">
      <c r="A801">
        <v>800</v>
      </c>
      <c r="B801" t="s">
        <v>81</v>
      </c>
      <c r="C801" s="2">
        <v>45242</v>
      </c>
      <c r="D801" t="s">
        <v>82</v>
      </c>
      <c r="E801" t="s">
        <v>15</v>
      </c>
      <c r="F801" t="s">
        <v>40</v>
      </c>
      <c r="G801" t="s">
        <v>17</v>
      </c>
      <c r="H801">
        <v>2</v>
      </c>
      <c r="J801">
        <v>159.9</v>
      </c>
      <c r="K801" t="s">
        <v>18</v>
      </c>
      <c r="L801" t="s">
        <v>45</v>
      </c>
      <c r="M801" t="s">
        <v>73</v>
      </c>
    </row>
    <row r="802" spans="1:13" x14ac:dyDescent="0.2">
      <c r="A802">
        <v>801</v>
      </c>
      <c r="B802" t="s">
        <v>37</v>
      </c>
      <c r="C802" s="2">
        <v>45204</v>
      </c>
      <c r="D802" t="s">
        <v>38</v>
      </c>
      <c r="E802" t="s">
        <v>39</v>
      </c>
      <c r="F802" t="s">
        <v>34</v>
      </c>
      <c r="G802" t="s">
        <v>35</v>
      </c>
      <c r="H802">
        <v>2</v>
      </c>
      <c r="I802">
        <v>0.1</v>
      </c>
      <c r="J802">
        <v>116.91</v>
      </c>
      <c r="K802" t="s">
        <v>29</v>
      </c>
      <c r="L802" t="s">
        <v>45</v>
      </c>
      <c r="M802">
        <v>1</v>
      </c>
    </row>
    <row r="803" spans="1:13" x14ac:dyDescent="0.2">
      <c r="A803">
        <v>802</v>
      </c>
      <c r="B803" t="s">
        <v>37</v>
      </c>
      <c r="C803" s="2">
        <v>45335</v>
      </c>
      <c r="D803" t="s">
        <v>38</v>
      </c>
      <c r="E803" t="s">
        <v>39</v>
      </c>
      <c r="F803" t="s">
        <v>44</v>
      </c>
      <c r="H803">
        <v>4</v>
      </c>
      <c r="I803">
        <v>0</v>
      </c>
      <c r="J803">
        <v>259.8</v>
      </c>
      <c r="K803" t="s">
        <v>29</v>
      </c>
      <c r="L803" t="s">
        <v>41</v>
      </c>
      <c r="M803">
        <v>1</v>
      </c>
    </row>
    <row r="804" spans="1:13" x14ac:dyDescent="0.2">
      <c r="A804">
        <v>803</v>
      </c>
      <c r="B804" t="s">
        <v>46</v>
      </c>
      <c r="C804" s="2">
        <v>45122</v>
      </c>
      <c r="D804" t="s">
        <v>47</v>
      </c>
      <c r="E804" t="s">
        <v>48</v>
      </c>
      <c r="F804" t="s">
        <v>34</v>
      </c>
      <c r="G804" t="s">
        <v>35</v>
      </c>
      <c r="H804">
        <v>4</v>
      </c>
      <c r="I804">
        <v>0.15</v>
      </c>
      <c r="J804">
        <v>169.83</v>
      </c>
      <c r="K804" t="s">
        <v>29</v>
      </c>
      <c r="M804">
        <v>0</v>
      </c>
    </row>
    <row r="805" spans="1:13" x14ac:dyDescent="0.2">
      <c r="A805">
        <v>804</v>
      </c>
      <c r="B805" t="s">
        <v>46</v>
      </c>
      <c r="C805" s="1">
        <v>45371</v>
      </c>
      <c r="D805" t="s">
        <v>47</v>
      </c>
      <c r="E805" t="s">
        <v>48</v>
      </c>
      <c r="F805" t="s">
        <v>21</v>
      </c>
      <c r="G805" t="s">
        <v>22</v>
      </c>
      <c r="H805">
        <v>3</v>
      </c>
      <c r="I805">
        <v>0.15</v>
      </c>
      <c r="J805">
        <v>127.37</v>
      </c>
      <c r="K805" t="s">
        <v>27</v>
      </c>
      <c r="L805" t="s">
        <v>30</v>
      </c>
      <c r="M805">
        <v>0</v>
      </c>
    </row>
    <row r="806" spans="1:13" x14ac:dyDescent="0.2">
      <c r="A806">
        <v>805</v>
      </c>
      <c r="B806" t="s">
        <v>58</v>
      </c>
      <c r="C806" s="2">
        <v>44936</v>
      </c>
      <c r="D806" t="s">
        <v>59</v>
      </c>
      <c r="E806" t="s">
        <v>15</v>
      </c>
      <c r="F806" t="s">
        <v>40</v>
      </c>
      <c r="G806" t="s">
        <v>17</v>
      </c>
      <c r="H806">
        <v>2</v>
      </c>
      <c r="I806">
        <v>0.05</v>
      </c>
      <c r="J806">
        <v>113.9</v>
      </c>
      <c r="K806" t="s">
        <v>80</v>
      </c>
      <c r="L806" t="s">
        <v>45</v>
      </c>
      <c r="M806">
        <v>1</v>
      </c>
    </row>
    <row r="807" spans="1:13" x14ac:dyDescent="0.2">
      <c r="A807">
        <v>806</v>
      </c>
      <c r="B807" t="s">
        <v>68</v>
      </c>
      <c r="C807" s="2">
        <v>45103</v>
      </c>
      <c r="D807" t="s">
        <v>69</v>
      </c>
      <c r="E807" t="s">
        <v>33</v>
      </c>
      <c r="F807" t="s">
        <v>53</v>
      </c>
      <c r="G807" t="s">
        <v>54</v>
      </c>
      <c r="H807">
        <v>5</v>
      </c>
      <c r="I807">
        <v>0.2</v>
      </c>
      <c r="J807">
        <v>476</v>
      </c>
      <c r="K807" t="s">
        <v>29</v>
      </c>
      <c r="L807" t="s">
        <v>45</v>
      </c>
      <c r="M807" t="b">
        <v>0</v>
      </c>
    </row>
    <row r="808" spans="1:13" x14ac:dyDescent="0.2">
      <c r="A808">
        <v>807</v>
      </c>
      <c r="B808" t="s">
        <v>37</v>
      </c>
      <c r="C808" s="2">
        <v>45563</v>
      </c>
      <c r="D808" t="s">
        <v>38</v>
      </c>
      <c r="E808" t="s">
        <v>39</v>
      </c>
      <c r="G808" t="s">
        <v>25</v>
      </c>
      <c r="H808">
        <v>3</v>
      </c>
      <c r="I808" t="s">
        <v>60</v>
      </c>
      <c r="J808">
        <v>194.85</v>
      </c>
      <c r="K808" t="s">
        <v>52</v>
      </c>
      <c r="L808" t="s">
        <v>49</v>
      </c>
      <c r="M808">
        <v>1</v>
      </c>
    </row>
    <row r="809" spans="1:13" x14ac:dyDescent="0.2">
      <c r="A809">
        <v>808</v>
      </c>
      <c r="B809" t="s">
        <v>71</v>
      </c>
      <c r="C809" s="2">
        <v>44942</v>
      </c>
      <c r="D809" t="s">
        <v>72</v>
      </c>
      <c r="E809" t="s">
        <v>33</v>
      </c>
      <c r="F809" t="s">
        <v>21</v>
      </c>
      <c r="G809" t="s">
        <v>22</v>
      </c>
      <c r="H809">
        <v>5</v>
      </c>
      <c r="I809">
        <v>0</v>
      </c>
      <c r="J809">
        <v>299.75</v>
      </c>
      <c r="K809" t="s">
        <v>27</v>
      </c>
      <c r="L809" t="s">
        <v>45</v>
      </c>
      <c r="M809" t="s">
        <v>73</v>
      </c>
    </row>
    <row r="810" spans="1:13" x14ac:dyDescent="0.2">
      <c r="A810">
        <v>809</v>
      </c>
      <c r="B810" t="s">
        <v>61</v>
      </c>
      <c r="C810" s="2">
        <v>45407</v>
      </c>
      <c r="D810" t="s">
        <v>62</v>
      </c>
      <c r="E810" t="s">
        <v>33</v>
      </c>
      <c r="F810" t="s">
        <v>44</v>
      </c>
      <c r="H810">
        <v>5</v>
      </c>
      <c r="I810">
        <v>0</v>
      </c>
      <c r="J810">
        <v>174.95</v>
      </c>
      <c r="K810" t="s">
        <v>29</v>
      </c>
      <c r="L810" t="s">
        <v>30</v>
      </c>
      <c r="M810">
        <v>0</v>
      </c>
    </row>
    <row r="811" spans="1:13" x14ac:dyDescent="0.2">
      <c r="A811">
        <v>810</v>
      </c>
      <c r="B811" t="s">
        <v>61</v>
      </c>
      <c r="C811" s="2">
        <v>45602</v>
      </c>
      <c r="D811" t="s">
        <v>62</v>
      </c>
      <c r="E811" t="s">
        <v>33</v>
      </c>
      <c r="F811" t="s">
        <v>34</v>
      </c>
      <c r="G811" t="s">
        <v>35</v>
      </c>
      <c r="H811">
        <v>2</v>
      </c>
      <c r="I811">
        <v>0</v>
      </c>
      <c r="J811">
        <v>69.98</v>
      </c>
      <c r="K811" t="s">
        <v>18</v>
      </c>
      <c r="L811" t="s">
        <v>45</v>
      </c>
      <c r="M811">
        <v>0</v>
      </c>
    </row>
    <row r="812" spans="1:13" x14ac:dyDescent="0.2">
      <c r="A812">
        <v>811</v>
      </c>
      <c r="B812" t="s">
        <v>81</v>
      </c>
      <c r="C812" s="2">
        <v>45359</v>
      </c>
      <c r="D812" t="s">
        <v>82</v>
      </c>
      <c r="E812" t="s">
        <v>15</v>
      </c>
      <c r="F812" t="s">
        <v>44</v>
      </c>
      <c r="H812">
        <v>5</v>
      </c>
      <c r="I812" t="s">
        <v>60</v>
      </c>
      <c r="J812">
        <v>399.75</v>
      </c>
      <c r="K812" t="s">
        <v>52</v>
      </c>
      <c r="L812" t="s">
        <v>45</v>
      </c>
      <c r="M812" t="s">
        <v>73</v>
      </c>
    </row>
    <row r="813" spans="1:13" x14ac:dyDescent="0.2">
      <c r="A813">
        <v>812</v>
      </c>
      <c r="B813" t="s">
        <v>31</v>
      </c>
      <c r="C813" s="2">
        <v>45419</v>
      </c>
      <c r="D813" t="s">
        <v>32</v>
      </c>
      <c r="E813" t="s">
        <v>33</v>
      </c>
      <c r="F813" t="s">
        <v>34</v>
      </c>
      <c r="G813" t="s">
        <v>35</v>
      </c>
      <c r="H813">
        <v>4</v>
      </c>
      <c r="I813">
        <v>0.15</v>
      </c>
      <c r="J813">
        <v>271.83</v>
      </c>
      <c r="K813" t="s">
        <v>80</v>
      </c>
      <c r="L813" t="s">
        <v>23</v>
      </c>
      <c r="M813" t="b">
        <v>0</v>
      </c>
    </row>
    <row r="814" spans="1:13" x14ac:dyDescent="0.2">
      <c r="A814">
        <v>813</v>
      </c>
      <c r="B814" t="s">
        <v>46</v>
      </c>
      <c r="C814" s="2">
        <v>45188</v>
      </c>
      <c r="D814" t="s">
        <v>47</v>
      </c>
      <c r="E814" t="s">
        <v>48</v>
      </c>
      <c r="F814" t="s">
        <v>44</v>
      </c>
      <c r="H814">
        <v>3</v>
      </c>
      <c r="I814">
        <v>0.15</v>
      </c>
      <c r="J814">
        <v>127.37</v>
      </c>
      <c r="K814" t="s">
        <v>18</v>
      </c>
      <c r="L814" t="s">
        <v>49</v>
      </c>
      <c r="M814">
        <v>0</v>
      </c>
    </row>
    <row r="815" spans="1:13" x14ac:dyDescent="0.2">
      <c r="A815">
        <v>814</v>
      </c>
      <c r="B815" t="s">
        <v>85</v>
      </c>
      <c r="C815" s="2">
        <v>45395</v>
      </c>
      <c r="D815" t="s">
        <v>86</v>
      </c>
      <c r="E815" t="s">
        <v>76</v>
      </c>
      <c r="F815" t="s">
        <v>40</v>
      </c>
      <c r="G815" t="s">
        <v>17</v>
      </c>
      <c r="H815">
        <v>1</v>
      </c>
      <c r="I815">
        <v>0</v>
      </c>
      <c r="J815">
        <v>89.95</v>
      </c>
      <c r="K815" t="s">
        <v>18</v>
      </c>
      <c r="L815" t="s">
        <v>55</v>
      </c>
      <c r="M815" t="s">
        <v>73</v>
      </c>
    </row>
    <row r="816" spans="1:13" x14ac:dyDescent="0.2">
      <c r="A816">
        <v>815</v>
      </c>
      <c r="B816" t="s">
        <v>74</v>
      </c>
      <c r="C816" s="2">
        <v>45154</v>
      </c>
      <c r="D816" t="s">
        <v>75</v>
      </c>
      <c r="E816" t="s">
        <v>76</v>
      </c>
      <c r="F816" t="s">
        <v>66</v>
      </c>
      <c r="G816" t="s">
        <v>67</v>
      </c>
      <c r="H816">
        <v>5</v>
      </c>
      <c r="I816">
        <v>0.05</v>
      </c>
      <c r="J816">
        <v>213.51</v>
      </c>
      <c r="K816" t="s">
        <v>36</v>
      </c>
      <c r="M816" t="s">
        <v>77</v>
      </c>
    </row>
    <row r="817" spans="1:13" x14ac:dyDescent="0.2">
      <c r="A817">
        <v>816</v>
      </c>
      <c r="B817" t="s">
        <v>78</v>
      </c>
      <c r="C817" s="2">
        <v>45623</v>
      </c>
      <c r="D817" t="s">
        <v>79</v>
      </c>
      <c r="E817" t="s">
        <v>48</v>
      </c>
      <c r="F817" t="s">
        <v>34</v>
      </c>
      <c r="G817" t="s">
        <v>35</v>
      </c>
      <c r="H817">
        <v>2</v>
      </c>
      <c r="I817">
        <v>0.15</v>
      </c>
      <c r="J817">
        <v>67.92</v>
      </c>
      <c r="K817" t="s">
        <v>27</v>
      </c>
      <c r="L817" t="s">
        <v>45</v>
      </c>
      <c r="M817">
        <v>1</v>
      </c>
    </row>
    <row r="818" spans="1:13" x14ac:dyDescent="0.2">
      <c r="A818">
        <v>817</v>
      </c>
      <c r="B818" t="s">
        <v>64</v>
      </c>
      <c r="C818" s="2">
        <v>45461</v>
      </c>
      <c r="D818" t="s">
        <v>65</v>
      </c>
      <c r="E818" t="s">
        <v>33</v>
      </c>
      <c r="F818" t="s">
        <v>34</v>
      </c>
      <c r="G818" t="s">
        <v>35</v>
      </c>
      <c r="H818">
        <v>1</v>
      </c>
      <c r="I818">
        <v>0.2</v>
      </c>
      <c r="J818">
        <v>59.96</v>
      </c>
      <c r="K818" t="s">
        <v>29</v>
      </c>
      <c r="L818" t="s">
        <v>30</v>
      </c>
      <c r="M818">
        <v>0</v>
      </c>
    </row>
    <row r="819" spans="1:13" x14ac:dyDescent="0.2">
      <c r="A819">
        <v>818</v>
      </c>
      <c r="B819" t="s">
        <v>58</v>
      </c>
      <c r="C819" s="2">
        <v>45091</v>
      </c>
      <c r="D819" t="s">
        <v>59</v>
      </c>
      <c r="E819" t="s">
        <v>15</v>
      </c>
      <c r="F819" t="s">
        <v>16</v>
      </c>
      <c r="G819" t="s">
        <v>17</v>
      </c>
      <c r="H819">
        <v>4</v>
      </c>
      <c r="I819">
        <v>0</v>
      </c>
      <c r="J819">
        <v>239.8</v>
      </c>
      <c r="K819" t="s">
        <v>29</v>
      </c>
      <c r="L819" t="s">
        <v>45</v>
      </c>
      <c r="M819">
        <v>1</v>
      </c>
    </row>
    <row r="820" spans="1:13" x14ac:dyDescent="0.2">
      <c r="A820">
        <v>819</v>
      </c>
      <c r="B820" t="s">
        <v>74</v>
      </c>
      <c r="C820" s="1">
        <v>45072</v>
      </c>
      <c r="D820" t="s">
        <v>75</v>
      </c>
      <c r="E820" t="s">
        <v>76</v>
      </c>
      <c r="F820" t="s">
        <v>66</v>
      </c>
      <c r="G820" t="s">
        <v>67</v>
      </c>
      <c r="H820">
        <v>1</v>
      </c>
      <c r="I820">
        <v>0</v>
      </c>
      <c r="J820">
        <v>44.95</v>
      </c>
      <c r="K820" t="s">
        <v>29</v>
      </c>
      <c r="L820" t="s">
        <v>63</v>
      </c>
      <c r="M820" t="s">
        <v>77</v>
      </c>
    </row>
    <row r="821" spans="1:13" x14ac:dyDescent="0.2">
      <c r="A821">
        <v>820</v>
      </c>
      <c r="B821" t="s">
        <v>50</v>
      </c>
      <c r="C821" s="2">
        <v>45276</v>
      </c>
      <c r="D821" t="s">
        <v>51</v>
      </c>
      <c r="E821" t="s">
        <v>15</v>
      </c>
      <c r="F821" t="s">
        <v>44</v>
      </c>
      <c r="H821">
        <v>1</v>
      </c>
      <c r="I821">
        <v>0.25</v>
      </c>
      <c r="J821">
        <v>52.46</v>
      </c>
      <c r="K821" t="s">
        <v>27</v>
      </c>
      <c r="L821" t="s">
        <v>45</v>
      </c>
      <c r="M821">
        <v>0</v>
      </c>
    </row>
    <row r="822" spans="1:13" x14ac:dyDescent="0.2">
      <c r="A822">
        <v>821</v>
      </c>
      <c r="B822" t="s">
        <v>50</v>
      </c>
      <c r="C822" s="1">
        <v>45544</v>
      </c>
      <c r="D822" t="s">
        <v>51</v>
      </c>
      <c r="E822" t="s">
        <v>15</v>
      </c>
      <c r="F822" t="s">
        <v>44</v>
      </c>
      <c r="H822">
        <v>2</v>
      </c>
      <c r="I822">
        <v>0</v>
      </c>
      <c r="J822">
        <v>139.9</v>
      </c>
      <c r="K822" t="s">
        <v>36</v>
      </c>
      <c r="M822">
        <v>0</v>
      </c>
    </row>
    <row r="823" spans="1:13" x14ac:dyDescent="0.2">
      <c r="A823">
        <v>822</v>
      </c>
      <c r="B823" t="s">
        <v>64</v>
      </c>
      <c r="C823" s="2">
        <v>45184</v>
      </c>
      <c r="D823" t="s">
        <v>65</v>
      </c>
      <c r="E823" t="s">
        <v>33</v>
      </c>
      <c r="F823" t="s">
        <v>53</v>
      </c>
      <c r="G823" t="s">
        <v>54</v>
      </c>
      <c r="H823">
        <v>3</v>
      </c>
      <c r="I823">
        <v>0.15</v>
      </c>
      <c r="J823">
        <v>191.12</v>
      </c>
      <c r="K823" t="s">
        <v>36</v>
      </c>
      <c r="L823" t="s">
        <v>28</v>
      </c>
      <c r="M823">
        <v>0</v>
      </c>
    </row>
    <row r="824" spans="1:13" x14ac:dyDescent="0.2">
      <c r="A824">
        <v>823</v>
      </c>
      <c r="B824" t="s">
        <v>83</v>
      </c>
      <c r="C824" s="2">
        <v>45543</v>
      </c>
      <c r="D824" t="s">
        <v>84</v>
      </c>
      <c r="E824" t="s">
        <v>48</v>
      </c>
      <c r="F824" t="s">
        <v>16</v>
      </c>
      <c r="G824" t="s">
        <v>17</v>
      </c>
      <c r="H824">
        <v>5</v>
      </c>
      <c r="I824">
        <v>0.2</v>
      </c>
      <c r="J824">
        <v>199.8</v>
      </c>
      <c r="K824" t="s">
        <v>27</v>
      </c>
      <c r="L824" t="s">
        <v>28</v>
      </c>
      <c r="M824">
        <v>0</v>
      </c>
    </row>
    <row r="825" spans="1:13" x14ac:dyDescent="0.2">
      <c r="A825">
        <v>824</v>
      </c>
      <c r="B825" t="s">
        <v>74</v>
      </c>
      <c r="C825" s="1">
        <v>45514</v>
      </c>
      <c r="D825" t="s">
        <v>75</v>
      </c>
      <c r="E825" t="s">
        <v>76</v>
      </c>
      <c r="G825" t="s">
        <v>25</v>
      </c>
      <c r="H825">
        <v>1</v>
      </c>
      <c r="I825">
        <v>0.15</v>
      </c>
      <c r="J825">
        <v>38.21</v>
      </c>
      <c r="K825" t="s">
        <v>29</v>
      </c>
      <c r="L825" t="s">
        <v>41</v>
      </c>
      <c r="M825" t="s">
        <v>77</v>
      </c>
    </row>
    <row r="826" spans="1:13" x14ac:dyDescent="0.2">
      <c r="A826">
        <v>825</v>
      </c>
      <c r="B826" t="s">
        <v>46</v>
      </c>
      <c r="C826" s="2">
        <v>45394</v>
      </c>
      <c r="D826" t="s">
        <v>47</v>
      </c>
      <c r="E826" t="s">
        <v>48</v>
      </c>
      <c r="F826" t="s">
        <v>40</v>
      </c>
      <c r="G826" t="s">
        <v>17</v>
      </c>
      <c r="H826">
        <v>3</v>
      </c>
      <c r="I826">
        <v>0.2</v>
      </c>
      <c r="J826">
        <v>119.88</v>
      </c>
      <c r="K826" t="s">
        <v>36</v>
      </c>
      <c r="L826" t="s">
        <v>23</v>
      </c>
      <c r="M826">
        <v>0</v>
      </c>
    </row>
    <row r="827" spans="1:13" x14ac:dyDescent="0.2">
      <c r="A827">
        <v>826</v>
      </c>
      <c r="B827" t="s">
        <v>31</v>
      </c>
      <c r="C827" s="2">
        <v>45103</v>
      </c>
      <c r="D827" t="s">
        <v>32</v>
      </c>
      <c r="E827" t="s">
        <v>33</v>
      </c>
      <c r="F827" t="s">
        <v>53</v>
      </c>
      <c r="G827" t="s">
        <v>54</v>
      </c>
      <c r="H827">
        <v>2</v>
      </c>
      <c r="I827">
        <v>0.15</v>
      </c>
      <c r="J827">
        <v>135.91999999999999</v>
      </c>
      <c r="K827" t="s">
        <v>52</v>
      </c>
      <c r="L827" t="s">
        <v>28</v>
      </c>
      <c r="M827" t="b">
        <v>0</v>
      </c>
    </row>
    <row r="828" spans="1:13" x14ac:dyDescent="0.2">
      <c r="A828">
        <v>827</v>
      </c>
      <c r="B828" t="s">
        <v>74</v>
      </c>
      <c r="C828" s="2">
        <v>45134</v>
      </c>
      <c r="D828" t="s">
        <v>75</v>
      </c>
      <c r="E828" t="s">
        <v>76</v>
      </c>
      <c r="F828" t="s">
        <v>16</v>
      </c>
      <c r="G828" t="s">
        <v>17</v>
      </c>
      <c r="H828">
        <v>3</v>
      </c>
      <c r="I828">
        <v>0.25</v>
      </c>
      <c r="J828">
        <v>101.14</v>
      </c>
      <c r="K828" t="s">
        <v>29</v>
      </c>
      <c r="L828" t="s">
        <v>45</v>
      </c>
      <c r="M828" t="s">
        <v>77</v>
      </c>
    </row>
    <row r="829" spans="1:13" x14ac:dyDescent="0.2">
      <c r="A829">
        <v>828</v>
      </c>
      <c r="B829" t="s">
        <v>78</v>
      </c>
      <c r="C829" s="1">
        <v>45560</v>
      </c>
      <c r="D829" t="s">
        <v>79</v>
      </c>
      <c r="E829" t="s">
        <v>48</v>
      </c>
      <c r="F829" t="s">
        <v>53</v>
      </c>
      <c r="G829" t="s">
        <v>54</v>
      </c>
      <c r="H829">
        <v>5</v>
      </c>
      <c r="I829">
        <v>0.1</v>
      </c>
      <c r="J829">
        <v>179.78</v>
      </c>
      <c r="K829" t="s">
        <v>29</v>
      </c>
      <c r="L829" t="s">
        <v>45</v>
      </c>
      <c r="M829">
        <v>1</v>
      </c>
    </row>
    <row r="830" spans="1:13" x14ac:dyDescent="0.2">
      <c r="A830">
        <v>829</v>
      </c>
      <c r="B830" t="s">
        <v>56</v>
      </c>
      <c r="C830" s="1">
        <v>45033</v>
      </c>
      <c r="D830" t="s">
        <v>57</v>
      </c>
      <c r="E830" t="s">
        <v>48</v>
      </c>
      <c r="F830" t="s">
        <v>40</v>
      </c>
      <c r="G830" t="s">
        <v>17</v>
      </c>
      <c r="H830">
        <v>3</v>
      </c>
      <c r="I830">
        <v>0.2</v>
      </c>
      <c r="J830">
        <v>204</v>
      </c>
      <c r="K830" t="s">
        <v>29</v>
      </c>
      <c r="L830" t="s">
        <v>45</v>
      </c>
      <c r="M830">
        <v>1</v>
      </c>
    </row>
    <row r="831" spans="1:13" x14ac:dyDescent="0.2">
      <c r="A831">
        <v>830</v>
      </c>
      <c r="B831" t="s">
        <v>64</v>
      </c>
      <c r="C831" s="2">
        <v>45151</v>
      </c>
      <c r="D831" t="s">
        <v>65</v>
      </c>
      <c r="E831" t="s">
        <v>33</v>
      </c>
      <c r="F831" t="s">
        <v>66</v>
      </c>
      <c r="G831" t="s">
        <v>67</v>
      </c>
      <c r="H831">
        <v>1</v>
      </c>
      <c r="I831">
        <v>0.25</v>
      </c>
      <c r="J831">
        <v>56.21</v>
      </c>
      <c r="K831" t="s">
        <v>36</v>
      </c>
      <c r="L831" t="s">
        <v>63</v>
      </c>
      <c r="M831">
        <v>0</v>
      </c>
    </row>
    <row r="832" spans="1:13" x14ac:dyDescent="0.2">
      <c r="A832">
        <v>831</v>
      </c>
      <c r="B832" t="s">
        <v>85</v>
      </c>
      <c r="C832" s="1">
        <v>45458</v>
      </c>
      <c r="D832" t="s">
        <v>86</v>
      </c>
      <c r="E832" t="s">
        <v>76</v>
      </c>
      <c r="F832" t="s">
        <v>44</v>
      </c>
      <c r="H832">
        <v>5</v>
      </c>
      <c r="I832">
        <v>0.05</v>
      </c>
      <c r="J832">
        <v>427.26</v>
      </c>
      <c r="K832" t="s">
        <v>18</v>
      </c>
      <c r="L832" t="s">
        <v>28</v>
      </c>
      <c r="M832" t="s">
        <v>73</v>
      </c>
    </row>
    <row r="833" spans="1:13" x14ac:dyDescent="0.2">
      <c r="A833">
        <v>832</v>
      </c>
      <c r="B833" t="s">
        <v>68</v>
      </c>
      <c r="C833" s="2">
        <v>45292</v>
      </c>
      <c r="D833" t="s">
        <v>69</v>
      </c>
      <c r="E833" t="s">
        <v>33</v>
      </c>
      <c r="F833" t="s">
        <v>21</v>
      </c>
      <c r="G833" t="s">
        <v>22</v>
      </c>
      <c r="H833">
        <v>3</v>
      </c>
      <c r="I833">
        <v>0.05</v>
      </c>
      <c r="J833">
        <v>339.15</v>
      </c>
      <c r="K833" t="s">
        <v>80</v>
      </c>
      <c r="L833" t="s">
        <v>49</v>
      </c>
      <c r="M833" t="b">
        <v>0</v>
      </c>
    </row>
    <row r="834" spans="1:13" x14ac:dyDescent="0.2">
      <c r="A834">
        <v>833</v>
      </c>
      <c r="B834" t="s">
        <v>56</v>
      </c>
      <c r="C834" s="1">
        <v>45283</v>
      </c>
      <c r="D834" t="s">
        <v>57</v>
      </c>
      <c r="E834" t="s">
        <v>48</v>
      </c>
      <c r="F834" t="s">
        <v>44</v>
      </c>
      <c r="H834">
        <v>3</v>
      </c>
      <c r="I834">
        <v>0</v>
      </c>
      <c r="J834">
        <v>255</v>
      </c>
      <c r="K834" t="s">
        <v>36</v>
      </c>
      <c r="L834" t="s">
        <v>63</v>
      </c>
      <c r="M834">
        <v>1</v>
      </c>
    </row>
    <row r="835" spans="1:13" x14ac:dyDescent="0.2">
      <c r="A835">
        <v>834</v>
      </c>
      <c r="B835" t="s">
        <v>42</v>
      </c>
      <c r="C835" s="2">
        <v>45592</v>
      </c>
      <c r="D835" t="s">
        <v>43</v>
      </c>
      <c r="E835" t="s">
        <v>15</v>
      </c>
      <c r="F835" t="s">
        <v>21</v>
      </c>
      <c r="G835" t="s">
        <v>22</v>
      </c>
      <c r="H835">
        <v>2</v>
      </c>
      <c r="I835">
        <v>0</v>
      </c>
      <c r="J835">
        <v>258</v>
      </c>
      <c r="K835" t="s">
        <v>80</v>
      </c>
      <c r="L835" t="s">
        <v>41</v>
      </c>
      <c r="M835" t="b">
        <v>1</v>
      </c>
    </row>
    <row r="836" spans="1:13" x14ac:dyDescent="0.2">
      <c r="A836">
        <v>835</v>
      </c>
      <c r="B836" t="s">
        <v>71</v>
      </c>
      <c r="C836" s="1">
        <v>45147</v>
      </c>
      <c r="D836" t="s">
        <v>72</v>
      </c>
      <c r="E836" t="s">
        <v>33</v>
      </c>
      <c r="F836" t="s">
        <v>26</v>
      </c>
      <c r="G836" t="s">
        <v>22</v>
      </c>
      <c r="H836">
        <v>4</v>
      </c>
      <c r="I836">
        <v>0.2</v>
      </c>
      <c r="J836">
        <v>191.84</v>
      </c>
      <c r="K836" t="s">
        <v>29</v>
      </c>
      <c r="L836" t="s">
        <v>45</v>
      </c>
      <c r="M836" t="s">
        <v>73</v>
      </c>
    </row>
    <row r="837" spans="1:13" x14ac:dyDescent="0.2">
      <c r="A837">
        <v>836</v>
      </c>
      <c r="B837" t="s">
        <v>13</v>
      </c>
      <c r="C837" s="2">
        <v>45049</v>
      </c>
      <c r="D837" t="s">
        <v>14</v>
      </c>
      <c r="E837" t="s">
        <v>15</v>
      </c>
      <c r="F837" t="s">
        <v>40</v>
      </c>
      <c r="G837" t="s">
        <v>17</v>
      </c>
      <c r="H837">
        <v>5</v>
      </c>
      <c r="I837">
        <v>0</v>
      </c>
      <c r="J837">
        <v>99.95</v>
      </c>
      <c r="K837" t="s">
        <v>80</v>
      </c>
      <c r="L837" t="s">
        <v>49</v>
      </c>
      <c r="M837">
        <v>0</v>
      </c>
    </row>
    <row r="838" spans="1:13" x14ac:dyDescent="0.2">
      <c r="A838">
        <v>837</v>
      </c>
      <c r="B838" t="s">
        <v>13</v>
      </c>
      <c r="C838" s="2">
        <v>45023</v>
      </c>
      <c r="D838" t="s">
        <v>14</v>
      </c>
      <c r="E838" t="s">
        <v>15</v>
      </c>
      <c r="F838" t="s">
        <v>66</v>
      </c>
      <c r="G838" t="s">
        <v>67</v>
      </c>
      <c r="H838">
        <v>4</v>
      </c>
      <c r="I838">
        <v>0</v>
      </c>
      <c r="J838">
        <v>79.959999999999994</v>
      </c>
      <c r="K838" t="s">
        <v>27</v>
      </c>
      <c r="L838" t="s">
        <v>49</v>
      </c>
      <c r="M838">
        <v>0</v>
      </c>
    </row>
    <row r="839" spans="1:13" x14ac:dyDescent="0.2">
      <c r="A839">
        <v>838</v>
      </c>
      <c r="B839" t="s">
        <v>31</v>
      </c>
      <c r="C839" s="2">
        <v>45115</v>
      </c>
      <c r="D839" t="s">
        <v>32</v>
      </c>
      <c r="E839" t="s">
        <v>33</v>
      </c>
      <c r="F839" t="s">
        <v>40</v>
      </c>
      <c r="G839" t="s">
        <v>17</v>
      </c>
      <c r="H839">
        <v>4</v>
      </c>
      <c r="I839">
        <v>0.1</v>
      </c>
      <c r="J839">
        <v>287.82</v>
      </c>
      <c r="K839" t="s">
        <v>27</v>
      </c>
      <c r="L839" t="s">
        <v>41</v>
      </c>
      <c r="M839" t="b">
        <v>0</v>
      </c>
    </row>
    <row r="840" spans="1:13" x14ac:dyDescent="0.2">
      <c r="A840">
        <v>839</v>
      </c>
      <c r="B840" t="s">
        <v>68</v>
      </c>
      <c r="C840" s="2">
        <v>44939</v>
      </c>
      <c r="D840" t="s">
        <v>25</v>
      </c>
      <c r="E840" t="s">
        <v>25</v>
      </c>
      <c r="F840" t="s">
        <v>26</v>
      </c>
      <c r="G840" t="s">
        <v>22</v>
      </c>
      <c r="H840">
        <v>1</v>
      </c>
      <c r="I840">
        <v>0</v>
      </c>
      <c r="J840">
        <v>119</v>
      </c>
      <c r="K840" t="s">
        <v>80</v>
      </c>
      <c r="L840" t="s">
        <v>23</v>
      </c>
      <c r="M840" t="s">
        <v>25</v>
      </c>
    </row>
    <row r="841" spans="1:13" x14ac:dyDescent="0.2">
      <c r="A841">
        <v>840</v>
      </c>
      <c r="B841" t="s">
        <v>31</v>
      </c>
      <c r="C841" s="2">
        <v>45626</v>
      </c>
      <c r="D841" t="s">
        <v>32</v>
      </c>
      <c r="E841" t="s">
        <v>33</v>
      </c>
      <c r="F841" t="s">
        <v>44</v>
      </c>
      <c r="H841">
        <v>5</v>
      </c>
      <c r="I841">
        <v>0.05</v>
      </c>
      <c r="J841">
        <v>379.76</v>
      </c>
      <c r="K841" t="s">
        <v>27</v>
      </c>
      <c r="L841" t="s">
        <v>49</v>
      </c>
      <c r="M841" t="b">
        <v>0</v>
      </c>
    </row>
    <row r="842" spans="1:13" x14ac:dyDescent="0.2">
      <c r="A842">
        <v>841</v>
      </c>
      <c r="B842" t="s">
        <v>71</v>
      </c>
      <c r="C842" s="2">
        <v>45037</v>
      </c>
      <c r="D842" t="s">
        <v>72</v>
      </c>
      <c r="E842" t="s">
        <v>33</v>
      </c>
      <c r="F842" t="s">
        <v>26</v>
      </c>
      <c r="G842" t="s">
        <v>22</v>
      </c>
      <c r="H842">
        <v>1</v>
      </c>
      <c r="I842">
        <v>0</v>
      </c>
      <c r="J842">
        <v>59.95</v>
      </c>
      <c r="K842" t="s">
        <v>52</v>
      </c>
      <c r="L842" t="s">
        <v>30</v>
      </c>
      <c r="M842" t="s">
        <v>73</v>
      </c>
    </row>
    <row r="843" spans="1:13" x14ac:dyDescent="0.2">
      <c r="A843">
        <v>842</v>
      </c>
      <c r="B843" t="s">
        <v>56</v>
      </c>
      <c r="C843" s="2">
        <v>45494</v>
      </c>
      <c r="D843" t="s">
        <v>57</v>
      </c>
      <c r="E843" t="s">
        <v>48</v>
      </c>
      <c r="F843" t="s">
        <v>44</v>
      </c>
      <c r="H843">
        <v>4</v>
      </c>
      <c r="I843">
        <v>0.25</v>
      </c>
      <c r="J843">
        <v>255</v>
      </c>
      <c r="K843" t="s">
        <v>36</v>
      </c>
      <c r="L843" t="s">
        <v>55</v>
      </c>
      <c r="M843">
        <v>1</v>
      </c>
    </row>
    <row r="844" spans="1:13" x14ac:dyDescent="0.2">
      <c r="A844">
        <v>843</v>
      </c>
      <c r="B844" t="s">
        <v>81</v>
      </c>
      <c r="C844" s="1">
        <v>45503</v>
      </c>
      <c r="D844" t="s">
        <v>82</v>
      </c>
      <c r="E844" t="s">
        <v>15</v>
      </c>
      <c r="F844" t="s">
        <v>44</v>
      </c>
      <c r="H844">
        <v>1</v>
      </c>
      <c r="I844">
        <v>0</v>
      </c>
      <c r="J844">
        <v>79.95</v>
      </c>
      <c r="K844" t="s">
        <v>80</v>
      </c>
      <c r="L844" t="s">
        <v>49</v>
      </c>
      <c r="M844" t="s">
        <v>73</v>
      </c>
    </row>
    <row r="845" spans="1:13" x14ac:dyDescent="0.2">
      <c r="A845">
        <v>844</v>
      </c>
      <c r="B845" t="s">
        <v>74</v>
      </c>
      <c r="C845" s="2">
        <v>44951</v>
      </c>
      <c r="D845" t="s">
        <v>75</v>
      </c>
      <c r="E845" t="s">
        <v>76</v>
      </c>
      <c r="F845" t="s">
        <v>21</v>
      </c>
      <c r="G845" t="s">
        <v>22</v>
      </c>
      <c r="H845">
        <v>4</v>
      </c>
      <c r="I845">
        <v>0.2</v>
      </c>
      <c r="J845">
        <v>143.84</v>
      </c>
      <c r="K845" t="s">
        <v>29</v>
      </c>
      <c r="L845" t="s">
        <v>55</v>
      </c>
      <c r="M845" t="s">
        <v>77</v>
      </c>
    </row>
    <row r="846" spans="1:13" x14ac:dyDescent="0.2">
      <c r="A846">
        <v>845</v>
      </c>
      <c r="B846" t="s">
        <v>37</v>
      </c>
      <c r="C846" s="1">
        <v>45248</v>
      </c>
      <c r="D846" t="s">
        <v>38</v>
      </c>
      <c r="E846" t="s">
        <v>39</v>
      </c>
      <c r="G846" t="s">
        <v>25</v>
      </c>
      <c r="H846">
        <v>1</v>
      </c>
      <c r="I846">
        <v>0.1</v>
      </c>
      <c r="J846">
        <v>58.46</v>
      </c>
      <c r="K846" t="s">
        <v>36</v>
      </c>
      <c r="L846" t="s">
        <v>45</v>
      </c>
      <c r="M846">
        <v>1</v>
      </c>
    </row>
    <row r="847" spans="1:13" x14ac:dyDescent="0.2">
      <c r="A847">
        <v>846</v>
      </c>
      <c r="B847" t="s">
        <v>78</v>
      </c>
      <c r="C847" s="2">
        <v>45642</v>
      </c>
      <c r="D847" t="s">
        <v>79</v>
      </c>
      <c r="E847" t="s">
        <v>48</v>
      </c>
      <c r="F847" t="s">
        <v>21</v>
      </c>
      <c r="G847" t="s">
        <v>22</v>
      </c>
      <c r="H847">
        <v>5</v>
      </c>
      <c r="I847">
        <v>0</v>
      </c>
      <c r="J847">
        <v>199.75</v>
      </c>
      <c r="K847" t="s">
        <v>36</v>
      </c>
      <c r="L847" t="s">
        <v>49</v>
      </c>
      <c r="M847">
        <v>1</v>
      </c>
    </row>
    <row r="848" spans="1:13" x14ac:dyDescent="0.2">
      <c r="A848">
        <v>847</v>
      </c>
      <c r="B848" t="s">
        <v>81</v>
      </c>
      <c r="C848" s="1">
        <v>45137</v>
      </c>
      <c r="D848" t="s">
        <v>82</v>
      </c>
      <c r="E848" t="s">
        <v>15</v>
      </c>
      <c r="F848" t="s">
        <v>34</v>
      </c>
      <c r="G848" t="s">
        <v>35</v>
      </c>
      <c r="H848">
        <v>5</v>
      </c>
      <c r="I848">
        <v>0</v>
      </c>
      <c r="J848">
        <v>399.75</v>
      </c>
      <c r="K848" t="s">
        <v>29</v>
      </c>
      <c r="L848" t="s">
        <v>23</v>
      </c>
      <c r="M848" t="s">
        <v>73</v>
      </c>
    </row>
    <row r="849" spans="1:13" x14ac:dyDescent="0.2">
      <c r="A849">
        <v>848</v>
      </c>
      <c r="B849" t="s">
        <v>68</v>
      </c>
      <c r="C849" s="2">
        <v>45540</v>
      </c>
      <c r="D849" t="s">
        <v>69</v>
      </c>
      <c r="E849" t="s">
        <v>33</v>
      </c>
      <c r="F849" t="s">
        <v>34</v>
      </c>
      <c r="G849" t="s">
        <v>35</v>
      </c>
      <c r="H849">
        <v>4</v>
      </c>
      <c r="I849">
        <v>0</v>
      </c>
      <c r="J849">
        <v>476</v>
      </c>
      <c r="K849" t="s">
        <v>18</v>
      </c>
      <c r="L849" t="s">
        <v>45</v>
      </c>
      <c r="M849" t="b">
        <v>0</v>
      </c>
    </row>
    <row r="850" spans="1:13" x14ac:dyDescent="0.2">
      <c r="A850">
        <v>849</v>
      </c>
      <c r="B850" t="s">
        <v>85</v>
      </c>
      <c r="C850" s="2">
        <v>45211</v>
      </c>
      <c r="D850" t="s">
        <v>86</v>
      </c>
      <c r="E850" t="s">
        <v>76</v>
      </c>
      <c r="F850" t="s">
        <v>53</v>
      </c>
      <c r="G850" t="s">
        <v>54</v>
      </c>
      <c r="H850">
        <v>1</v>
      </c>
      <c r="I850">
        <v>0.2</v>
      </c>
      <c r="J850">
        <v>71.959999999999994</v>
      </c>
      <c r="K850" t="s">
        <v>29</v>
      </c>
      <c r="L850" t="s">
        <v>28</v>
      </c>
      <c r="M850" t="s">
        <v>73</v>
      </c>
    </row>
    <row r="851" spans="1:13" x14ac:dyDescent="0.2">
      <c r="A851">
        <v>850</v>
      </c>
      <c r="B851" t="s">
        <v>42</v>
      </c>
      <c r="C851" s="2">
        <v>44995</v>
      </c>
      <c r="D851" t="s">
        <v>43</v>
      </c>
      <c r="E851" t="s">
        <v>15</v>
      </c>
      <c r="F851" t="s">
        <v>34</v>
      </c>
      <c r="G851" t="s">
        <v>35</v>
      </c>
      <c r="H851">
        <v>1</v>
      </c>
      <c r="I851">
        <v>0</v>
      </c>
      <c r="J851">
        <v>129</v>
      </c>
      <c r="K851" t="s">
        <v>29</v>
      </c>
      <c r="L851" t="s">
        <v>45</v>
      </c>
      <c r="M851" t="b">
        <v>1</v>
      </c>
    </row>
    <row r="852" spans="1:13" x14ac:dyDescent="0.2">
      <c r="A852">
        <v>851</v>
      </c>
      <c r="B852" t="s">
        <v>46</v>
      </c>
      <c r="C852" s="2">
        <v>45495</v>
      </c>
      <c r="D852" t="s">
        <v>25</v>
      </c>
      <c r="E852" t="s">
        <v>25</v>
      </c>
      <c r="F852" t="s">
        <v>53</v>
      </c>
      <c r="G852" t="s">
        <v>54</v>
      </c>
      <c r="H852">
        <v>1</v>
      </c>
      <c r="I852">
        <v>0.2</v>
      </c>
      <c r="J852">
        <v>39.96</v>
      </c>
      <c r="K852" t="s">
        <v>27</v>
      </c>
      <c r="L852" t="s">
        <v>63</v>
      </c>
      <c r="M852" t="s">
        <v>25</v>
      </c>
    </row>
    <row r="853" spans="1:13" x14ac:dyDescent="0.2">
      <c r="A853">
        <v>852</v>
      </c>
      <c r="B853" t="s">
        <v>19</v>
      </c>
      <c r="C853" s="2">
        <v>45073</v>
      </c>
      <c r="D853" t="s">
        <v>20</v>
      </c>
      <c r="E853" t="s">
        <v>15</v>
      </c>
      <c r="F853" t="s">
        <v>16</v>
      </c>
      <c r="G853" t="s">
        <v>17</v>
      </c>
      <c r="H853">
        <v>4</v>
      </c>
      <c r="I853">
        <v>0.15</v>
      </c>
      <c r="J853">
        <v>305.83</v>
      </c>
      <c r="K853" t="s">
        <v>36</v>
      </c>
      <c r="L853" t="s">
        <v>41</v>
      </c>
      <c r="M853" t="b">
        <v>1</v>
      </c>
    </row>
    <row r="854" spans="1:13" x14ac:dyDescent="0.2">
      <c r="A854">
        <v>853</v>
      </c>
      <c r="B854" t="s">
        <v>61</v>
      </c>
      <c r="C854" s="2">
        <v>45400</v>
      </c>
      <c r="D854" t="s">
        <v>62</v>
      </c>
      <c r="E854" t="s">
        <v>33</v>
      </c>
      <c r="F854" t="s">
        <v>26</v>
      </c>
      <c r="G854" t="s">
        <v>22</v>
      </c>
      <c r="H854">
        <v>3</v>
      </c>
      <c r="I854">
        <v>0.1</v>
      </c>
      <c r="J854">
        <v>94.47</v>
      </c>
      <c r="K854" t="s">
        <v>52</v>
      </c>
      <c r="L854" t="s">
        <v>45</v>
      </c>
      <c r="M854">
        <v>0</v>
      </c>
    </row>
    <row r="855" spans="1:13" x14ac:dyDescent="0.2">
      <c r="A855">
        <v>854</v>
      </c>
      <c r="B855" t="s">
        <v>24</v>
      </c>
      <c r="C855" s="1">
        <v>45543</v>
      </c>
      <c r="D855" t="s">
        <v>25</v>
      </c>
      <c r="E855" t="s">
        <v>25</v>
      </c>
      <c r="F855" t="s">
        <v>40</v>
      </c>
      <c r="G855" t="s">
        <v>17</v>
      </c>
      <c r="H855">
        <v>1</v>
      </c>
      <c r="I855">
        <v>0.25</v>
      </c>
      <c r="J855">
        <v>33.71</v>
      </c>
      <c r="K855" t="s">
        <v>18</v>
      </c>
      <c r="L855" t="s">
        <v>55</v>
      </c>
      <c r="M855" t="s">
        <v>25</v>
      </c>
    </row>
    <row r="856" spans="1:13" x14ac:dyDescent="0.2">
      <c r="A856">
        <v>855</v>
      </c>
      <c r="B856" t="s">
        <v>68</v>
      </c>
      <c r="C856" s="2">
        <v>45166</v>
      </c>
      <c r="D856" t="s">
        <v>69</v>
      </c>
      <c r="E856" t="s">
        <v>33</v>
      </c>
      <c r="F856" t="s">
        <v>40</v>
      </c>
      <c r="G856" t="s">
        <v>17</v>
      </c>
      <c r="H856">
        <v>1</v>
      </c>
      <c r="I856">
        <v>0</v>
      </c>
      <c r="J856">
        <v>119</v>
      </c>
      <c r="K856" t="s">
        <v>36</v>
      </c>
      <c r="L856" t="s">
        <v>55</v>
      </c>
      <c r="M856" t="b">
        <v>0</v>
      </c>
    </row>
    <row r="857" spans="1:13" x14ac:dyDescent="0.2">
      <c r="A857">
        <v>856</v>
      </c>
      <c r="B857" t="s">
        <v>13</v>
      </c>
      <c r="C857" s="2">
        <v>45557</v>
      </c>
      <c r="D857" t="s">
        <v>14</v>
      </c>
      <c r="E857" t="s">
        <v>15</v>
      </c>
      <c r="F857" t="s">
        <v>16</v>
      </c>
      <c r="G857" t="s">
        <v>17</v>
      </c>
      <c r="H857">
        <v>4</v>
      </c>
      <c r="I857">
        <v>0.2</v>
      </c>
      <c r="J857">
        <v>63.97</v>
      </c>
      <c r="K857" t="s">
        <v>36</v>
      </c>
      <c r="L857" t="s">
        <v>30</v>
      </c>
      <c r="M857">
        <v>0</v>
      </c>
    </row>
    <row r="858" spans="1:13" x14ac:dyDescent="0.2">
      <c r="A858">
        <v>857</v>
      </c>
      <c r="B858" t="s">
        <v>24</v>
      </c>
      <c r="C858" s="1">
        <v>45220</v>
      </c>
      <c r="D858" t="s">
        <v>87</v>
      </c>
      <c r="E858" t="s">
        <v>39</v>
      </c>
      <c r="F858" t="s">
        <v>66</v>
      </c>
      <c r="G858" t="s">
        <v>67</v>
      </c>
      <c r="H858">
        <v>5</v>
      </c>
      <c r="I858">
        <v>0.15</v>
      </c>
      <c r="J858">
        <v>191.04</v>
      </c>
      <c r="K858" t="s">
        <v>18</v>
      </c>
      <c r="L858" t="s">
        <v>63</v>
      </c>
      <c r="M858" t="b">
        <v>1</v>
      </c>
    </row>
    <row r="859" spans="1:13" x14ac:dyDescent="0.2">
      <c r="A859">
        <v>858</v>
      </c>
      <c r="B859" t="s">
        <v>24</v>
      </c>
      <c r="C859" s="2">
        <v>45568</v>
      </c>
      <c r="D859" t="s">
        <v>87</v>
      </c>
      <c r="E859" t="s">
        <v>39</v>
      </c>
      <c r="F859" t="s">
        <v>26</v>
      </c>
      <c r="G859" t="s">
        <v>22</v>
      </c>
      <c r="H859">
        <v>4</v>
      </c>
      <c r="I859">
        <v>0.05</v>
      </c>
      <c r="J859">
        <v>170.81</v>
      </c>
      <c r="K859" t="s">
        <v>18</v>
      </c>
      <c r="L859" t="s">
        <v>28</v>
      </c>
      <c r="M859" t="b">
        <v>1</v>
      </c>
    </row>
    <row r="860" spans="1:13" x14ac:dyDescent="0.2">
      <c r="A860">
        <v>859</v>
      </c>
      <c r="B860" t="s">
        <v>61</v>
      </c>
      <c r="C860" s="2">
        <v>45656</v>
      </c>
      <c r="D860" t="s">
        <v>62</v>
      </c>
      <c r="E860" t="s">
        <v>33</v>
      </c>
      <c r="F860" t="s">
        <v>21</v>
      </c>
      <c r="G860" t="s">
        <v>22</v>
      </c>
      <c r="H860">
        <v>5</v>
      </c>
      <c r="I860">
        <v>0.05</v>
      </c>
      <c r="J860">
        <v>166.2</v>
      </c>
      <c r="K860" t="s">
        <v>18</v>
      </c>
      <c r="L860" t="s">
        <v>63</v>
      </c>
      <c r="M860">
        <v>0</v>
      </c>
    </row>
    <row r="861" spans="1:13" x14ac:dyDescent="0.2">
      <c r="A861">
        <v>860</v>
      </c>
      <c r="B861" t="s">
        <v>50</v>
      </c>
      <c r="C861" s="1">
        <v>45038</v>
      </c>
      <c r="D861" t="s">
        <v>25</v>
      </c>
      <c r="E861" t="s">
        <v>25</v>
      </c>
      <c r="F861" t="s">
        <v>40</v>
      </c>
      <c r="G861" t="s">
        <v>17</v>
      </c>
      <c r="H861">
        <v>2</v>
      </c>
      <c r="I861">
        <v>0.2</v>
      </c>
      <c r="J861">
        <v>111.92</v>
      </c>
      <c r="K861" t="s">
        <v>29</v>
      </c>
      <c r="L861" t="s">
        <v>45</v>
      </c>
      <c r="M861" t="s">
        <v>25</v>
      </c>
    </row>
    <row r="862" spans="1:13" x14ac:dyDescent="0.2">
      <c r="A862">
        <v>861</v>
      </c>
      <c r="B862" t="s">
        <v>74</v>
      </c>
      <c r="C862" s="1">
        <v>44951</v>
      </c>
      <c r="D862" t="s">
        <v>75</v>
      </c>
      <c r="E862" t="s">
        <v>76</v>
      </c>
      <c r="F862" t="s">
        <v>66</v>
      </c>
      <c r="G862" t="s">
        <v>67</v>
      </c>
      <c r="H862">
        <v>5</v>
      </c>
      <c r="I862">
        <v>0.2</v>
      </c>
      <c r="J862">
        <v>179.8</v>
      </c>
      <c r="K862" t="s">
        <v>29</v>
      </c>
      <c r="L862" t="s">
        <v>45</v>
      </c>
      <c r="M862" t="s">
        <v>77</v>
      </c>
    </row>
    <row r="863" spans="1:13" x14ac:dyDescent="0.2">
      <c r="A863">
        <v>862</v>
      </c>
      <c r="B863" t="s">
        <v>61</v>
      </c>
      <c r="C863" s="2">
        <v>45060</v>
      </c>
      <c r="D863" t="s">
        <v>62</v>
      </c>
      <c r="E863" t="s">
        <v>33</v>
      </c>
      <c r="F863" t="s">
        <v>34</v>
      </c>
      <c r="G863" t="s">
        <v>35</v>
      </c>
      <c r="H863">
        <v>4</v>
      </c>
      <c r="I863">
        <v>0.15</v>
      </c>
      <c r="J863">
        <v>118.97</v>
      </c>
      <c r="K863" t="s">
        <v>18</v>
      </c>
      <c r="L863" t="s">
        <v>41</v>
      </c>
      <c r="M863">
        <v>0</v>
      </c>
    </row>
    <row r="864" spans="1:13" x14ac:dyDescent="0.2">
      <c r="A864">
        <v>863</v>
      </c>
      <c r="B864" t="s">
        <v>58</v>
      </c>
      <c r="C864" s="1">
        <v>45134</v>
      </c>
      <c r="D864" t="s">
        <v>59</v>
      </c>
      <c r="E864" t="s">
        <v>15</v>
      </c>
      <c r="F864" t="s">
        <v>26</v>
      </c>
      <c r="G864" t="s">
        <v>22</v>
      </c>
      <c r="H864">
        <v>3</v>
      </c>
      <c r="I864">
        <v>0</v>
      </c>
      <c r="J864">
        <v>179.85</v>
      </c>
      <c r="K864" t="s">
        <v>52</v>
      </c>
      <c r="L864" t="s">
        <v>49</v>
      </c>
      <c r="M864">
        <v>1</v>
      </c>
    </row>
    <row r="865" spans="1:13" x14ac:dyDescent="0.2">
      <c r="A865">
        <v>864</v>
      </c>
      <c r="B865" t="s">
        <v>50</v>
      </c>
      <c r="C865" s="2">
        <v>45094</v>
      </c>
      <c r="D865" t="s">
        <v>51</v>
      </c>
      <c r="E865" t="s">
        <v>15</v>
      </c>
      <c r="F865" t="s">
        <v>66</v>
      </c>
      <c r="G865" t="s">
        <v>67</v>
      </c>
      <c r="H865">
        <v>3</v>
      </c>
      <c r="I865">
        <v>0</v>
      </c>
      <c r="J865">
        <v>209.85</v>
      </c>
      <c r="K865" t="s">
        <v>18</v>
      </c>
      <c r="L865" t="s">
        <v>45</v>
      </c>
      <c r="M865">
        <v>0</v>
      </c>
    </row>
    <row r="866" spans="1:13" x14ac:dyDescent="0.2">
      <c r="A866">
        <v>865</v>
      </c>
      <c r="B866" t="s">
        <v>46</v>
      </c>
      <c r="C866" s="2">
        <v>45065</v>
      </c>
      <c r="D866" t="s">
        <v>47</v>
      </c>
      <c r="E866" t="s">
        <v>48</v>
      </c>
      <c r="F866" t="s">
        <v>34</v>
      </c>
      <c r="G866" t="s">
        <v>35</v>
      </c>
      <c r="H866">
        <v>2</v>
      </c>
      <c r="I866">
        <v>0.25</v>
      </c>
      <c r="J866">
        <v>74.930000000000007</v>
      </c>
      <c r="K866" t="s">
        <v>27</v>
      </c>
      <c r="L866" t="s">
        <v>55</v>
      </c>
      <c r="M866">
        <v>0</v>
      </c>
    </row>
    <row r="867" spans="1:13" x14ac:dyDescent="0.2">
      <c r="A867">
        <v>866</v>
      </c>
      <c r="B867" t="s">
        <v>13</v>
      </c>
      <c r="C867" s="2">
        <v>45305</v>
      </c>
      <c r="D867" t="s">
        <v>14</v>
      </c>
      <c r="E867" t="s">
        <v>15</v>
      </c>
      <c r="F867" t="s">
        <v>44</v>
      </c>
      <c r="H867">
        <v>4</v>
      </c>
      <c r="I867">
        <v>0.15</v>
      </c>
      <c r="J867">
        <v>67.97</v>
      </c>
      <c r="K867" t="s">
        <v>27</v>
      </c>
      <c r="L867" t="s">
        <v>49</v>
      </c>
      <c r="M867">
        <v>0</v>
      </c>
    </row>
    <row r="868" spans="1:13" x14ac:dyDescent="0.2">
      <c r="A868">
        <v>867</v>
      </c>
      <c r="B868" t="s">
        <v>50</v>
      </c>
      <c r="C868" s="1">
        <v>45563</v>
      </c>
      <c r="D868" t="s">
        <v>51</v>
      </c>
      <c r="E868" t="s">
        <v>15</v>
      </c>
      <c r="F868" t="s">
        <v>40</v>
      </c>
      <c r="G868" t="s">
        <v>17</v>
      </c>
      <c r="H868">
        <v>1</v>
      </c>
      <c r="I868">
        <v>0.15</v>
      </c>
      <c r="J868">
        <v>59.46</v>
      </c>
      <c r="K868" t="s">
        <v>27</v>
      </c>
      <c r="L868" t="s">
        <v>41</v>
      </c>
      <c r="M868">
        <v>0</v>
      </c>
    </row>
    <row r="869" spans="1:13" x14ac:dyDescent="0.2">
      <c r="A869">
        <v>868</v>
      </c>
      <c r="B869" t="s">
        <v>58</v>
      </c>
      <c r="C869" s="2">
        <v>45370</v>
      </c>
      <c r="D869" t="s">
        <v>59</v>
      </c>
      <c r="E869" t="s">
        <v>15</v>
      </c>
      <c r="G869" t="s">
        <v>25</v>
      </c>
      <c r="H869">
        <v>2</v>
      </c>
      <c r="I869">
        <v>0.1</v>
      </c>
      <c r="J869">
        <v>107.91</v>
      </c>
      <c r="K869" t="s">
        <v>29</v>
      </c>
      <c r="L869" t="s">
        <v>30</v>
      </c>
      <c r="M869">
        <v>1</v>
      </c>
    </row>
    <row r="870" spans="1:13" x14ac:dyDescent="0.2">
      <c r="A870">
        <v>869</v>
      </c>
      <c r="B870" t="s">
        <v>81</v>
      </c>
      <c r="C870" s="2">
        <v>45408</v>
      </c>
      <c r="D870" t="s">
        <v>82</v>
      </c>
      <c r="E870" t="s">
        <v>15</v>
      </c>
      <c r="F870" t="s">
        <v>26</v>
      </c>
      <c r="G870" t="s">
        <v>22</v>
      </c>
      <c r="H870">
        <v>1</v>
      </c>
      <c r="I870">
        <v>0.1</v>
      </c>
      <c r="J870">
        <v>71.959999999999994</v>
      </c>
      <c r="K870" t="s">
        <v>18</v>
      </c>
      <c r="L870" t="s">
        <v>28</v>
      </c>
      <c r="M870" t="s">
        <v>73</v>
      </c>
    </row>
    <row r="871" spans="1:13" x14ac:dyDescent="0.2">
      <c r="A871">
        <v>870</v>
      </c>
      <c r="B871" t="s">
        <v>61</v>
      </c>
      <c r="C871" s="2">
        <v>45215</v>
      </c>
      <c r="D871" t="s">
        <v>62</v>
      </c>
      <c r="E871" t="s">
        <v>33</v>
      </c>
      <c r="F871" t="s">
        <v>40</v>
      </c>
      <c r="G871" t="s">
        <v>17</v>
      </c>
      <c r="H871">
        <v>3</v>
      </c>
      <c r="I871">
        <v>0.1</v>
      </c>
      <c r="J871">
        <v>94.47</v>
      </c>
      <c r="K871" t="s">
        <v>29</v>
      </c>
      <c r="L871" t="s">
        <v>63</v>
      </c>
      <c r="M871">
        <v>0</v>
      </c>
    </row>
    <row r="872" spans="1:13" x14ac:dyDescent="0.2">
      <c r="A872">
        <v>871</v>
      </c>
      <c r="B872" t="s">
        <v>19</v>
      </c>
      <c r="C872" s="1">
        <v>45084</v>
      </c>
      <c r="D872" t="s">
        <v>20</v>
      </c>
      <c r="E872" t="s">
        <v>15</v>
      </c>
      <c r="F872" t="s">
        <v>16</v>
      </c>
      <c r="G872" t="s">
        <v>17</v>
      </c>
      <c r="H872">
        <v>1</v>
      </c>
      <c r="I872">
        <v>0</v>
      </c>
      <c r="J872">
        <v>89.95</v>
      </c>
      <c r="K872" t="s">
        <v>27</v>
      </c>
      <c r="L872" t="s">
        <v>49</v>
      </c>
      <c r="M872" t="b">
        <v>1</v>
      </c>
    </row>
    <row r="873" spans="1:13" x14ac:dyDescent="0.2">
      <c r="A873">
        <v>872</v>
      </c>
      <c r="B873" t="s">
        <v>88</v>
      </c>
      <c r="C873" s="2">
        <v>45069</v>
      </c>
      <c r="D873" t="s">
        <v>89</v>
      </c>
      <c r="E873" t="s">
        <v>33</v>
      </c>
      <c r="F873" t="s">
        <v>44</v>
      </c>
      <c r="H873">
        <v>1</v>
      </c>
      <c r="I873">
        <v>0</v>
      </c>
      <c r="J873">
        <v>198</v>
      </c>
      <c r="K873" t="s">
        <v>36</v>
      </c>
      <c r="L873" t="s">
        <v>23</v>
      </c>
      <c r="M873" t="b">
        <v>0</v>
      </c>
    </row>
    <row r="874" spans="1:13" x14ac:dyDescent="0.2">
      <c r="A874">
        <v>873</v>
      </c>
      <c r="B874" t="s">
        <v>74</v>
      </c>
      <c r="C874" s="2">
        <v>45652</v>
      </c>
      <c r="D874" t="s">
        <v>25</v>
      </c>
      <c r="E874" t="s">
        <v>25</v>
      </c>
      <c r="F874" t="s">
        <v>16</v>
      </c>
      <c r="G874" t="s">
        <v>17</v>
      </c>
      <c r="H874">
        <v>3</v>
      </c>
      <c r="I874">
        <v>0.05</v>
      </c>
      <c r="J874">
        <v>128.11000000000001</v>
      </c>
      <c r="K874" t="s">
        <v>18</v>
      </c>
      <c r="L874" t="s">
        <v>41</v>
      </c>
      <c r="M874" t="s">
        <v>25</v>
      </c>
    </row>
    <row r="875" spans="1:13" x14ac:dyDescent="0.2">
      <c r="A875">
        <v>874</v>
      </c>
      <c r="B875" t="s">
        <v>64</v>
      </c>
      <c r="C875" s="2">
        <v>45004</v>
      </c>
      <c r="D875" t="s">
        <v>65</v>
      </c>
      <c r="E875" t="s">
        <v>33</v>
      </c>
      <c r="F875" t="s">
        <v>34</v>
      </c>
      <c r="G875" t="s">
        <v>35</v>
      </c>
      <c r="H875">
        <v>2</v>
      </c>
      <c r="I875">
        <v>0.05</v>
      </c>
      <c r="J875">
        <v>142.4</v>
      </c>
      <c r="K875" t="s">
        <v>36</v>
      </c>
      <c r="L875" t="s">
        <v>55</v>
      </c>
      <c r="M875">
        <v>0</v>
      </c>
    </row>
    <row r="876" spans="1:13" x14ac:dyDescent="0.2">
      <c r="A876">
        <v>875</v>
      </c>
      <c r="B876" t="s">
        <v>37</v>
      </c>
      <c r="C876" s="1">
        <v>45173</v>
      </c>
      <c r="D876" t="s">
        <v>25</v>
      </c>
      <c r="E876" t="s">
        <v>25</v>
      </c>
      <c r="G876" t="s">
        <v>25</v>
      </c>
      <c r="H876">
        <v>4</v>
      </c>
      <c r="I876">
        <v>0.1</v>
      </c>
      <c r="J876">
        <v>233.82</v>
      </c>
      <c r="K876" t="s">
        <v>36</v>
      </c>
      <c r="L876" t="s">
        <v>49</v>
      </c>
      <c r="M876" t="s">
        <v>25</v>
      </c>
    </row>
    <row r="877" spans="1:13" x14ac:dyDescent="0.2">
      <c r="A877">
        <v>876</v>
      </c>
      <c r="B877" t="s">
        <v>71</v>
      </c>
      <c r="C877" s="2">
        <v>45617</v>
      </c>
      <c r="D877" t="s">
        <v>72</v>
      </c>
      <c r="E877" t="s">
        <v>33</v>
      </c>
      <c r="F877" t="s">
        <v>26</v>
      </c>
      <c r="G877" t="s">
        <v>22</v>
      </c>
      <c r="H877">
        <v>4</v>
      </c>
      <c r="I877">
        <v>0</v>
      </c>
      <c r="J877">
        <v>239.8</v>
      </c>
      <c r="K877" t="s">
        <v>27</v>
      </c>
      <c r="L877" t="s">
        <v>41</v>
      </c>
      <c r="M877" t="s">
        <v>73</v>
      </c>
    </row>
    <row r="878" spans="1:13" x14ac:dyDescent="0.2">
      <c r="A878">
        <v>877</v>
      </c>
      <c r="B878" t="s">
        <v>24</v>
      </c>
      <c r="C878" s="2">
        <v>45234</v>
      </c>
      <c r="D878" t="s">
        <v>87</v>
      </c>
      <c r="E878" t="s">
        <v>39</v>
      </c>
      <c r="F878" t="s">
        <v>40</v>
      </c>
      <c r="G878" t="s">
        <v>17</v>
      </c>
      <c r="H878">
        <v>3</v>
      </c>
      <c r="I878">
        <v>0.25</v>
      </c>
      <c r="J878">
        <v>101.14</v>
      </c>
      <c r="K878" t="s">
        <v>29</v>
      </c>
      <c r="L878" t="s">
        <v>49</v>
      </c>
      <c r="M878" t="b">
        <v>1</v>
      </c>
    </row>
    <row r="879" spans="1:13" x14ac:dyDescent="0.2">
      <c r="A879">
        <v>878</v>
      </c>
      <c r="B879" t="s">
        <v>24</v>
      </c>
      <c r="C879" s="2">
        <v>45321</v>
      </c>
      <c r="D879" t="s">
        <v>87</v>
      </c>
      <c r="E879" t="s">
        <v>39</v>
      </c>
      <c r="F879" t="s">
        <v>21</v>
      </c>
      <c r="G879" t="s">
        <v>22</v>
      </c>
      <c r="H879">
        <v>4</v>
      </c>
      <c r="I879">
        <v>0.25</v>
      </c>
      <c r="J879">
        <v>134.85</v>
      </c>
      <c r="K879" t="s">
        <v>18</v>
      </c>
      <c r="L879" t="s">
        <v>45</v>
      </c>
      <c r="M879" t="b">
        <v>1</v>
      </c>
    </row>
    <row r="880" spans="1:13" x14ac:dyDescent="0.2">
      <c r="A880">
        <v>879</v>
      </c>
      <c r="B880" t="s">
        <v>61</v>
      </c>
      <c r="C880" s="2">
        <v>44943</v>
      </c>
      <c r="D880" t="s">
        <v>62</v>
      </c>
      <c r="E880" t="s">
        <v>33</v>
      </c>
      <c r="F880" t="s">
        <v>66</v>
      </c>
      <c r="G880" t="s">
        <v>67</v>
      </c>
      <c r="H880">
        <v>5</v>
      </c>
      <c r="I880">
        <v>0</v>
      </c>
      <c r="J880">
        <v>174.95</v>
      </c>
      <c r="K880" t="s">
        <v>27</v>
      </c>
      <c r="L880" t="s">
        <v>63</v>
      </c>
      <c r="M880">
        <v>0</v>
      </c>
    </row>
    <row r="881" spans="1:13" x14ac:dyDescent="0.2">
      <c r="A881">
        <v>880</v>
      </c>
      <c r="B881" t="s">
        <v>83</v>
      </c>
      <c r="C881" s="2">
        <v>45090</v>
      </c>
      <c r="D881" t="s">
        <v>84</v>
      </c>
      <c r="E881" t="s">
        <v>48</v>
      </c>
      <c r="F881" t="s">
        <v>34</v>
      </c>
      <c r="G881" t="s">
        <v>35</v>
      </c>
      <c r="H881">
        <v>5</v>
      </c>
      <c r="I881">
        <v>0.25</v>
      </c>
      <c r="J881">
        <v>187.31</v>
      </c>
      <c r="K881" t="s">
        <v>29</v>
      </c>
      <c r="L881" t="s">
        <v>28</v>
      </c>
      <c r="M881">
        <v>0</v>
      </c>
    </row>
    <row r="882" spans="1:13" x14ac:dyDescent="0.2">
      <c r="A882">
        <v>881</v>
      </c>
      <c r="B882" t="s">
        <v>78</v>
      </c>
      <c r="C882" s="2">
        <v>44940</v>
      </c>
      <c r="D882" t="s">
        <v>79</v>
      </c>
      <c r="E882" t="s">
        <v>48</v>
      </c>
      <c r="F882" t="s">
        <v>34</v>
      </c>
      <c r="G882" t="s">
        <v>35</v>
      </c>
      <c r="H882">
        <v>4</v>
      </c>
      <c r="I882">
        <v>0.05</v>
      </c>
      <c r="J882">
        <v>151.81</v>
      </c>
      <c r="K882" t="s">
        <v>29</v>
      </c>
      <c r="L882" t="s">
        <v>28</v>
      </c>
      <c r="M882">
        <v>1</v>
      </c>
    </row>
    <row r="883" spans="1:13" x14ac:dyDescent="0.2">
      <c r="A883">
        <v>882</v>
      </c>
      <c r="B883" t="s">
        <v>61</v>
      </c>
      <c r="C883" s="2">
        <v>45384</v>
      </c>
      <c r="D883" t="s">
        <v>62</v>
      </c>
      <c r="E883" t="s">
        <v>33</v>
      </c>
      <c r="F883" t="s">
        <v>40</v>
      </c>
      <c r="G883" t="s">
        <v>17</v>
      </c>
      <c r="H883">
        <v>3</v>
      </c>
      <c r="I883">
        <v>0.25</v>
      </c>
      <c r="J883">
        <v>78.73</v>
      </c>
      <c r="K883" t="s">
        <v>27</v>
      </c>
      <c r="L883" t="s">
        <v>55</v>
      </c>
      <c r="M883">
        <v>0</v>
      </c>
    </row>
    <row r="884" spans="1:13" x14ac:dyDescent="0.2">
      <c r="A884">
        <v>883</v>
      </c>
      <c r="B884" t="s">
        <v>56</v>
      </c>
      <c r="C884" s="1">
        <v>45256</v>
      </c>
      <c r="D884" t="s">
        <v>57</v>
      </c>
      <c r="E884" t="s">
        <v>48</v>
      </c>
      <c r="F884" t="s">
        <v>53</v>
      </c>
      <c r="G884" t="s">
        <v>54</v>
      </c>
      <c r="H884">
        <v>3</v>
      </c>
      <c r="I884">
        <v>0.15</v>
      </c>
      <c r="J884">
        <v>216.75</v>
      </c>
      <c r="K884" t="s">
        <v>18</v>
      </c>
      <c r="L884" t="s">
        <v>63</v>
      </c>
      <c r="M884">
        <v>1</v>
      </c>
    </row>
    <row r="885" spans="1:13" x14ac:dyDescent="0.2">
      <c r="A885">
        <v>884</v>
      </c>
      <c r="B885" t="s">
        <v>78</v>
      </c>
      <c r="C885" s="2">
        <v>45256</v>
      </c>
      <c r="D885" t="s">
        <v>25</v>
      </c>
      <c r="E885" t="s">
        <v>25</v>
      </c>
      <c r="F885" t="s">
        <v>40</v>
      </c>
      <c r="G885" t="s">
        <v>17</v>
      </c>
      <c r="H885">
        <v>1</v>
      </c>
      <c r="I885">
        <v>0.2</v>
      </c>
      <c r="J885">
        <v>31.96</v>
      </c>
      <c r="K885" t="s">
        <v>80</v>
      </c>
      <c r="L885" t="s">
        <v>45</v>
      </c>
      <c r="M885" t="s">
        <v>25</v>
      </c>
    </row>
    <row r="886" spans="1:13" x14ac:dyDescent="0.2">
      <c r="A886">
        <v>885</v>
      </c>
      <c r="B886" t="s">
        <v>61</v>
      </c>
      <c r="C886" s="1">
        <v>45155</v>
      </c>
      <c r="D886" t="s">
        <v>62</v>
      </c>
      <c r="E886" t="s">
        <v>33</v>
      </c>
      <c r="G886" t="s">
        <v>25</v>
      </c>
      <c r="H886">
        <v>3</v>
      </c>
      <c r="I886">
        <v>0</v>
      </c>
      <c r="J886">
        <v>104.97</v>
      </c>
      <c r="K886" t="s">
        <v>18</v>
      </c>
      <c r="L886" t="s">
        <v>41</v>
      </c>
      <c r="M886">
        <v>0</v>
      </c>
    </row>
    <row r="887" spans="1:13" x14ac:dyDescent="0.2">
      <c r="A887">
        <v>886</v>
      </c>
      <c r="B887" t="s">
        <v>37</v>
      </c>
      <c r="C887" s="1">
        <v>44989</v>
      </c>
      <c r="D887" t="s">
        <v>38</v>
      </c>
      <c r="E887" t="s">
        <v>39</v>
      </c>
      <c r="F887" t="s">
        <v>34</v>
      </c>
      <c r="G887" t="s">
        <v>35</v>
      </c>
      <c r="H887">
        <v>5</v>
      </c>
      <c r="I887">
        <v>0</v>
      </c>
      <c r="J887">
        <v>324.75</v>
      </c>
      <c r="K887" t="s">
        <v>36</v>
      </c>
      <c r="L887" t="s">
        <v>30</v>
      </c>
      <c r="M887">
        <v>1</v>
      </c>
    </row>
    <row r="888" spans="1:13" x14ac:dyDescent="0.2">
      <c r="A888">
        <v>887</v>
      </c>
      <c r="B888" t="s">
        <v>61</v>
      </c>
      <c r="C888" s="2">
        <v>45586</v>
      </c>
      <c r="D888" t="s">
        <v>62</v>
      </c>
      <c r="E888" t="s">
        <v>33</v>
      </c>
      <c r="F888" t="s">
        <v>34</v>
      </c>
      <c r="G888" t="s">
        <v>35</v>
      </c>
      <c r="H888">
        <v>3</v>
      </c>
      <c r="I888">
        <v>0</v>
      </c>
      <c r="J888">
        <v>104.97</v>
      </c>
      <c r="K888" t="s">
        <v>36</v>
      </c>
      <c r="L888" t="s">
        <v>23</v>
      </c>
      <c r="M888">
        <v>0</v>
      </c>
    </row>
    <row r="889" spans="1:13" x14ac:dyDescent="0.2">
      <c r="A889">
        <v>888</v>
      </c>
      <c r="B889" t="s">
        <v>64</v>
      </c>
      <c r="C889" s="2">
        <v>45548</v>
      </c>
      <c r="D889" t="s">
        <v>65</v>
      </c>
      <c r="E889" t="s">
        <v>33</v>
      </c>
      <c r="F889" t="s">
        <v>16</v>
      </c>
      <c r="G889" t="s">
        <v>17</v>
      </c>
      <c r="H889">
        <v>4</v>
      </c>
      <c r="I889">
        <v>0</v>
      </c>
      <c r="J889">
        <v>299.8</v>
      </c>
      <c r="K889" t="s">
        <v>36</v>
      </c>
      <c r="L889" t="s">
        <v>63</v>
      </c>
      <c r="M889">
        <v>0</v>
      </c>
    </row>
    <row r="890" spans="1:13" x14ac:dyDescent="0.2">
      <c r="A890">
        <v>889</v>
      </c>
      <c r="B890" t="s">
        <v>56</v>
      </c>
      <c r="C890" s="2">
        <v>45109</v>
      </c>
      <c r="D890" t="s">
        <v>25</v>
      </c>
      <c r="E890" t="s">
        <v>25</v>
      </c>
      <c r="F890" t="s">
        <v>21</v>
      </c>
      <c r="G890" t="s">
        <v>22</v>
      </c>
      <c r="H890">
        <v>1</v>
      </c>
      <c r="I890">
        <v>0.2</v>
      </c>
      <c r="J890">
        <v>68</v>
      </c>
      <c r="K890" t="s">
        <v>29</v>
      </c>
      <c r="L890" t="s">
        <v>49</v>
      </c>
      <c r="M890" t="s">
        <v>25</v>
      </c>
    </row>
    <row r="891" spans="1:13" x14ac:dyDescent="0.2">
      <c r="A891">
        <v>890</v>
      </c>
      <c r="B891" t="s">
        <v>83</v>
      </c>
      <c r="C891" s="1">
        <v>45031</v>
      </c>
      <c r="D891" t="s">
        <v>84</v>
      </c>
      <c r="E891" t="s">
        <v>48</v>
      </c>
      <c r="F891" t="s">
        <v>66</v>
      </c>
      <c r="G891" t="s">
        <v>67</v>
      </c>
      <c r="H891">
        <v>1</v>
      </c>
      <c r="I891">
        <v>0</v>
      </c>
      <c r="J891">
        <v>49.95</v>
      </c>
      <c r="K891" t="s">
        <v>18</v>
      </c>
      <c r="L891" t="s">
        <v>45</v>
      </c>
      <c r="M891">
        <v>0</v>
      </c>
    </row>
    <row r="892" spans="1:13" x14ac:dyDescent="0.2">
      <c r="A892">
        <v>891</v>
      </c>
      <c r="B892" t="s">
        <v>56</v>
      </c>
      <c r="C892" s="1">
        <v>45085</v>
      </c>
      <c r="D892" t="s">
        <v>57</v>
      </c>
      <c r="E892" t="s">
        <v>48</v>
      </c>
      <c r="F892" t="s">
        <v>21</v>
      </c>
      <c r="G892" t="s">
        <v>22</v>
      </c>
      <c r="H892">
        <v>1</v>
      </c>
      <c r="I892">
        <v>0.2</v>
      </c>
      <c r="J892">
        <v>68</v>
      </c>
      <c r="K892" t="s">
        <v>36</v>
      </c>
      <c r="L892" t="s">
        <v>28</v>
      </c>
      <c r="M892">
        <v>1</v>
      </c>
    </row>
    <row r="893" spans="1:13" x14ac:dyDescent="0.2">
      <c r="A893">
        <v>892</v>
      </c>
      <c r="B893" t="s">
        <v>58</v>
      </c>
      <c r="C893" s="2">
        <v>45151</v>
      </c>
      <c r="D893" t="s">
        <v>59</v>
      </c>
      <c r="E893" t="s">
        <v>15</v>
      </c>
      <c r="F893" t="s">
        <v>26</v>
      </c>
      <c r="G893" t="s">
        <v>22</v>
      </c>
      <c r="H893">
        <v>2</v>
      </c>
      <c r="I893">
        <v>0.25</v>
      </c>
      <c r="J893">
        <v>89.93</v>
      </c>
      <c r="K893" t="s">
        <v>27</v>
      </c>
      <c r="L893" t="s">
        <v>23</v>
      </c>
      <c r="M893">
        <v>1</v>
      </c>
    </row>
    <row r="894" spans="1:13" x14ac:dyDescent="0.2">
      <c r="A894">
        <v>893</v>
      </c>
      <c r="B894" t="s">
        <v>83</v>
      </c>
      <c r="C894" s="1">
        <v>45131</v>
      </c>
      <c r="D894" t="s">
        <v>84</v>
      </c>
      <c r="E894" t="s">
        <v>48</v>
      </c>
      <c r="G894" t="s">
        <v>25</v>
      </c>
      <c r="H894">
        <v>1</v>
      </c>
      <c r="I894">
        <v>0.2</v>
      </c>
      <c r="J894">
        <v>39.96</v>
      </c>
      <c r="K894" t="s">
        <v>27</v>
      </c>
      <c r="L894" t="s">
        <v>55</v>
      </c>
      <c r="M894">
        <v>0</v>
      </c>
    </row>
    <row r="895" spans="1:13" x14ac:dyDescent="0.2">
      <c r="A895">
        <v>894</v>
      </c>
      <c r="B895" t="s">
        <v>37</v>
      </c>
      <c r="C895" s="2">
        <v>45496</v>
      </c>
      <c r="D895" t="s">
        <v>38</v>
      </c>
      <c r="E895" t="s">
        <v>39</v>
      </c>
      <c r="F895" t="s">
        <v>21</v>
      </c>
      <c r="G895" t="s">
        <v>22</v>
      </c>
      <c r="H895">
        <v>2</v>
      </c>
      <c r="I895">
        <v>0</v>
      </c>
      <c r="J895">
        <v>129.9</v>
      </c>
      <c r="K895" t="s">
        <v>52</v>
      </c>
      <c r="L895" t="s">
        <v>30</v>
      </c>
      <c r="M895">
        <v>1</v>
      </c>
    </row>
    <row r="896" spans="1:13" x14ac:dyDescent="0.2">
      <c r="A896">
        <v>895</v>
      </c>
      <c r="B896" t="s">
        <v>24</v>
      </c>
      <c r="C896" s="2">
        <v>45116</v>
      </c>
      <c r="D896" t="s">
        <v>87</v>
      </c>
      <c r="E896" t="s">
        <v>39</v>
      </c>
      <c r="G896" t="s">
        <v>25</v>
      </c>
      <c r="H896">
        <v>1</v>
      </c>
      <c r="I896">
        <v>0.25</v>
      </c>
      <c r="J896">
        <v>33.71</v>
      </c>
      <c r="K896" t="s">
        <v>18</v>
      </c>
      <c r="L896" t="s">
        <v>28</v>
      </c>
      <c r="M896" t="b">
        <v>1</v>
      </c>
    </row>
    <row r="897" spans="1:13" x14ac:dyDescent="0.2">
      <c r="A897">
        <v>896</v>
      </c>
      <c r="B897" t="s">
        <v>81</v>
      </c>
      <c r="C897" s="1">
        <v>45590</v>
      </c>
      <c r="D897" t="s">
        <v>25</v>
      </c>
      <c r="E897" t="s">
        <v>25</v>
      </c>
      <c r="F897" t="s">
        <v>34</v>
      </c>
      <c r="G897" t="s">
        <v>35</v>
      </c>
      <c r="H897">
        <v>3</v>
      </c>
      <c r="I897">
        <v>0.15</v>
      </c>
      <c r="J897">
        <v>203.87</v>
      </c>
      <c r="K897" t="s">
        <v>27</v>
      </c>
      <c r="L897" t="s">
        <v>41</v>
      </c>
      <c r="M897" t="s">
        <v>25</v>
      </c>
    </row>
    <row r="898" spans="1:13" x14ac:dyDescent="0.2">
      <c r="A898">
        <v>897</v>
      </c>
      <c r="B898" t="s">
        <v>83</v>
      </c>
      <c r="C898" s="2">
        <v>45543</v>
      </c>
      <c r="D898" t="s">
        <v>84</v>
      </c>
      <c r="E898" t="s">
        <v>48</v>
      </c>
      <c r="F898" t="s">
        <v>34</v>
      </c>
      <c r="G898" t="s">
        <v>35</v>
      </c>
      <c r="H898">
        <v>4</v>
      </c>
      <c r="I898">
        <v>0.15</v>
      </c>
      <c r="J898">
        <v>169.83</v>
      </c>
      <c r="K898" t="s">
        <v>29</v>
      </c>
      <c r="L898" t="s">
        <v>41</v>
      </c>
      <c r="M898">
        <v>0</v>
      </c>
    </row>
    <row r="899" spans="1:13" x14ac:dyDescent="0.2">
      <c r="A899">
        <v>898</v>
      </c>
      <c r="B899" t="s">
        <v>13</v>
      </c>
      <c r="C899" s="2">
        <v>44927</v>
      </c>
      <c r="D899" t="s">
        <v>14</v>
      </c>
      <c r="E899" t="s">
        <v>15</v>
      </c>
      <c r="F899" t="s">
        <v>26</v>
      </c>
      <c r="G899" t="s">
        <v>22</v>
      </c>
      <c r="H899">
        <v>5</v>
      </c>
      <c r="I899">
        <v>0</v>
      </c>
      <c r="J899">
        <v>99.95</v>
      </c>
      <c r="K899" t="s">
        <v>52</v>
      </c>
      <c r="L899" t="s">
        <v>23</v>
      </c>
      <c r="M899">
        <v>0</v>
      </c>
    </row>
    <row r="900" spans="1:13" x14ac:dyDescent="0.2">
      <c r="A900">
        <v>899</v>
      </c>
      <c r="B900" t="s">
        <v>42</v>
      </c>
      <c r="C900" s="2">
        <v>44962</v>
      </c>
      <c r="D900" t="s">
        <v>43</v>
      </c>
      <c r="E900" t="s">
        <v>15</v>
      </c>
      <c r="F900" t="s">
        <v>40</v>
      </c>
      <c r="G900" t="s">
        <v>17</v>
      </c>
      <c r="H900">
        <v>3</v>
      </c>
      <c r="I900">
        <v>0.2</v>
      </c>
      <c r="J900">
        <v>309.60000000000002</v>
      </c>
      <c r="K900" t="s">
        <v>52</v>
      </c>
      <c r="L900" t="s">
        <v>23</v>
      </c>
      <c r="M900" t="b">
        <v>1</v>
      </c>
    </row>
    <row r="901" spans="1:13" x14ac:dyDescent="0.2">
      <c r="A901">
        <v>900</v>
      </c>
      <c r="B901" t="s">
        <v>83</v>
      </c>
      <c r="C901" s="2">
        <v>45167</v>
      </c>
      <c r="D901" t="s">
        <v>84</v>
      </c>
      <c r="E901" t="s">
        <v>48</v>
      </c>
      <c r="F901" t="s">
        <v>26</v>
      </c>
      <c r="G901" t="s">
        <v>22</v>
      </c>
      <c r="H901">
        <v>2</v>
      </c>
      <c r="I901">
        <v>0</v>
      </c>
      <c r="J901">
        <v>99.9</v>
      </c>
      <c r="K901" t="s">
        <v>27</v>
      </c>
      <c r="L901" t="s">
        <v>55</v>
      </c>
      <c r="M901">
        <v>0</v>
      </c>
    </row>
    <row r="902" spans="1:13" x14ac:dyDescent="0.2">
      <c r="A902">
        <v>901</v>
      </c>
      <c r="B902" t="s">
        <v>74</v>
      </c>
      <c r="C902" s="2">
        <v>45369</v>
      </c>
      <c r="D902" t="s">
        <v>75</v>
      </c>
      <c r="E902" t="s">
        <v>76</v>
      </c>
      <c r="F902" t="s">
        <v>16</v>
      </c>
      <c r="G902" t="s">
        <v>17</v>
      </c>
      <c r="H902">
        <v>4</v>
      </c>
      <c r="I902">
        <v>0</v>
      </c>
      <c r="J902">
        <v>179.8</v>
      </c>
      <c r="K902" t="s">
        <v>29</v>
      </c>
      <c r="L902" t="s">
        <v>23</v>
      </c>
      <c r="M902" t="s">
        <v>77</v>
      </c>
    </row>
    <row r="903" spans="1:13" x14ac:dyDescent="0.2">
      <c r="A903">
        <v>902</v>
      </c>
      <c r="B903" t="s">
        <v>64</v>
      </c>
      <c r="C903" s="2">
        <v>45633</v>
      </c>
      <c r="D903" t="s">
        <v>65</v>
      </c>
      <c r="E903" t="s">
        <v>33</v>
      </c>
      <c r="F903" t="s">
        <v>34</v>
      </c>
      <c r="G903" t="s">
        <v>35</v>
      </c>
      <c r="H903">
        <v>1</v>
      </c>
      <c r="I903">
        <v>0.1</v>
      </c>
      <c r="J903">
        <v>67.459999999999994</v>
      </c>
      <c r="K903" t="s">
        <v>18</v>
      </c>
      <c r="L903" t="s">
        <v>63</v>
      </c>
      <c r="M903">
        <v>0</v>
      </c>
    </row>
    <row r="904" spans="1:13" x14ac:dyDescent="0.2">
      <c r="A904">
        <v>903</v>
      </c>
      <c r="B904" t="s">
        <v>50</v>
      </c>
      <c r="C904" s="1">
        <v>45410</v>
      </c>
      <c r="D904" t="s">
        <v>51</v>
      </c>
      <c r="E904" t="s">
        <v>15</v>
      </c>
      <c r="F904" t="s">
        <v>26</v>
      </c>
      <c r="G904" t="s">
        <v>22</v>
      </c>
      <c r="H904">
        <v>3</v>
      </c>
      <c r="I904">
        <v>0</v>
      </c>
      <c r="J904">
        <v>209.85</v>
      </c>
      <c r="K904" t="s">
        <v>29</v>
      </c>
      <c r="L904" t="s">
        <v>49</v>
      </c>
      <c r="M904">
        <v>0</v>
      </c>
    </row>
    <row r="905" spans="1:13" x14ac:dyDescent="0.2">
      <c r="A905">
        <v>904</v>
      </c>
      <c r="B905" t="s">
        <v>68</v>
      </c>
      <c r="C905" s="2">
        <v>45615</v>
      </c>
      <c r="D905" t="s">
        <v>69</v>
      </c>
      <c r="E905" t="s">
        <v>33</v>
      </c>
      <c r="F905" t="s">
        <v>21</v>
      </c>
      <c r="G905" t="s">
        <v>22</v>
      </c>
      <c r="H905">
        <v>4</v>
      </c>
      <c r="I905">
        <v>0.15</v>
      </c>
      <c r="J905">
        <v>404.6</v>
      </c>
      <c r="K905" t="s">
        <v>18</v>
      </c>
      <c r="L905" t="s">
        <v>30</v>
      </c>
      <c r="M905" t="b">
        <v>0</v>
      </c>
    </row>
    <row r="906" spans="1:13" x14ac:dyDescent="0.2">
      <c r="A906">
        <v>905</v>
      </c>
      <c r="B906" t="s">
        <v>56</v>
      </c>
      <c r="C906" s="2">
        <v>45567</v>
      </c>
      <c r="D906" t="s">
        <v>57</v>
      </c>
      <c r="E906" t="s">
        <v>48</v>
      </c>
      <c r="F906" t="s">
        <v>44</v>
      </c>
      <c r="H906">
        <v>2</v>
      </c>
      <c r="I906">
        <v>0</v>
      </c>
      <c r="J906">
        <v>170</v>
      </c>
      <c r="K906" t="s">
        <v>80</v>
      </c>
      <c r="L906" t="s">
        <v>49</v>
      </c>
      <c r="M906">
        <v>1</v>
      </c>
    </row>
    <row r="907" spans="1:13" x14ac:dyDescent="0.2">
      <c r="A907">
        <v>906</v>
      </c>
      <c r="B907" t="s">
        <v>42</v>
      </c>
      <c r="C907" s="1">
        <v>45033</v>
      </c>
      <c r="D907" t="s">
        <v>43</v>
      </c>
      <c r="E907" t="s">
        <v>15</v>
      </c>
      <c r="G907" t="s">
        <v>25</v>
      </c>
      <c r="H907">
        <v>4</v>
      </c>
      <c r="I907">
        <v>0</v>
      </c>
      <c r="J907">
        <v>516</v>
      </c>
      <c r="K907" t="s">
        <v>80</v>
      </c>
      <c r="L907" t="s">
        <v>23</v>
      </c>
      <c r="M907" t="b">
        <v>1</v>
      </c>
    </row>
    <row r="908" spans="1:13" x14ac:dyDescent="0.2">
      <c r="A908">
        <v>907</v>
      </c>
      <c r="B908" t="s">
        <v>56</v>
      </c>
      <c r="C908" s="1">
        <v>45286</v>
      </c>
      <c r="D908" t="s">
        <v>57</v>
      </c>
      <c r="E908" t="s">
        <v>48</v>
      </c>
      <c r="F908" t="s">
        <v>40</v>
      </c>
      <c r="G908" t="s">
        <v>17</v>
      </c>
      <c r="H908">
        <v>4</v>
      </c>
      <c r="I908">
        <v>0.2</v>
      </c>
      <c r="J908">
        <v>272</v>
      </c>
      <c r="K908" t="s">
        <v>80</v>
      </c>
      <c r="L908" t="s">
        <v>63</v>
      </c>
      <c r="M908">
        <v>1</v>
      </c>
    </row>
    <row r="909" spans="1:13" x14ac:dyDescent="0.2">
      <c r="A909">
        <v>908</v>
      </c>
      <c r="B909" t="s">
        <v>78</v>
      </c>
      <c r="C909" s="2">
        <v>45638</v>
      </c>
      <c r="D909" t="s">
        <v>79</v>
      </c>
      <c r="E909" t="s">
        <v>48</v>
      </c>
      <c r="F909" t="s">
        <v>26</v>
      </c>
      <c r="G909" t="s">
        <v>22</v>
      </c>
      <c r="H909">
        <v>1</v>
      </c>
      <c r="I909">
        <v>0.25</v>
      </c>
      <c r="J909">
        <v>29.96</v>
      </c>
      <c r="K909" t="s">
        <v>27</v>
      </c>
      <c r="M909">
        <v>1</v>
      </c>
    </row>
    <row r="910" spans="1:13" x14ac:dyDescent="0.2">
      <c r="A910">
        <v>909</v>
      </c>
      <c r="B910" t="s">
        <v>42</v>
      </c>
      <c r="C910" s="2">
        <v>45359</v>
      </c>
      <c r="D910" t="s">
        <v>43</v>
      </c>
      <c r="E910" t="s">
        <v>15</v>
      </c>
      <c r="F910" t="s">
        <v>66</v>
      </c>
      <c r="G910" t="s">
        <v>67</v>
      </c>
      <c r="H910">
        <v>1</v>
      </c>
      <c r="I910">
        <v>0.1</v>
      </c>
      <c r="J910">
        <v>116.1</v>
      </c>
      <c r="K910" t="s">
        <v>27</v>
      </c>
      <c r="L910" t="s">
        <v>41</v>
      </c>
      <c r="M910" t="b">
        <v>1</v>
      </c>
    </row>
    <row r="911" spans="1:13" x14ac:dyDescent="0.2">
      <c r="A911">
        <v>910</v>
      </c>
      <c r="B911" t="s">
        <v>71</v>
      </c>
      <c r="C911" s="2">
        <v>45438</v>
      </c>
      <c r="D911" t="s">
        <v>72</v>
      </c>
      <c r="E911" t="s">
        <v>33</v>
      </c>
      <c r="F911" t="s">
        <v>44</v>
      </c>
      <c r="H911">
        <v>5</v>
      </c>
      <c r="I911">
        <v>0</v>
      </c>
      <c r="J911">
        <v>299.75</v>
      </c>
      <c r="K911" t="s">
        <v>27</v>
      </c>
      <c r="L911" t="s">
        <v>41</v>
      </c>
      <c r="M911" t="s">
        <v>73</v>
      </c>
    </row>
    <row r="912" spans="1:13" x14ac:dyDescent="0.2">
      <c r="A912">
        <v>911</v>
      </c>
      <c r="B912" t="s">
        <v>83</v>
      </c>
      <c r="C912" s="2">
        <v>45015</v>
      </c>
      <c r="D912" t="s">
        <v>84</v>
      </c>
      <c r="E912" t="s">
        <v>48</v>
      </c>
      <c r="F912" t="s">
        <v>40</v>
      </c>
      <c r="G912" t="s">
        <v>17</v>
      </c>
      <c r="H912">
        <v>1</v>
      </c>
      <c r="I912">
        <v>0.2</v>
      </c>
      <c r="J912">
        <v>39.96</v>
      </c>
      <c r="K912" t="s">
        <v>29</v>
      </c>
      <c r="L912" t="s">
        <v>23</v>
      </c>
      <c r="M912">
        <v>0</v>
      </c>
    </row>
    <row r="913" spans="1:13" x14ac:dyDescent="0.2">
      <c r="A913">
        <v>912</v>
      </c>
      <c r="B913" t="s">
        <v>19</v>
      </c>
      <c r="C913" s="1">
        <v>45244</v>
      </c>
      <c r="D913" t="s">
        <v>20</v>
      </c>
      <c r="E913" t="s">
        <v>15</v>
      </c>
      <c r="F913" t="s">
        <v>40</v>
      </c>
      <c r="G913" t="s">
        <v>17</v>
      </c>
      <c r="H913">
        <v>5</v>
      </c>
      <c r="I913">
        <v>0.25</v>
      </c>
      <c r="J913">
        <v>337.31</v>
      </c>
      <c r="K913" t="s">
        <v>52</v>
      </c>
      <c r="L913" t="s">
        <v>23</v>
      </c>
      <c r="M913" t="b">
        <v>1</v>
      </c>
    </row>
    <row r="914" spans="1:13" x14ac:dyDescent="0.2">
      <c r="A914">
        <v>913</v>
      </c>
      <c r="B914" t="s">
        <v>42</v>
      </c>
      <c r="C914" s="1">
        <v>45640</v>
      </c>
      <c r="D914" t="s">
        <v>43</v>
      </c>
      <c r="E914" t="s">
        <v>15</v>
      </c>
      <c r="F914" t="s">
        <v>44</v>
      </c>
      <c r="H914">
        <v>5</v>
      </c>
      <c r="I914">
        <v>0</v>
      </c>
      <c r="J914">
        <v>645</v>
      </c>
      <c r="K914" t="s">
        <v>52</v>
      </c>
      <c r="L914" t="s">
        <v>41</v>
      </c>
      <c r="M914" t="b">
        <v>1</v>
      </c>
    </row>
    <row r="915" spans="1:13" x14ac:dyDescent="0.2">
      <c r="A915">
        <v>914</v>
      </c>
      <c r="B915" t="s">
        <v>58</v>
      </c>
      <c r="C915" s="2">
        <v>45630</v>
      </c>
      <c r="D915" t="s">
        <v>59</v>
      </c>
      <c r="E915" t="s">
        <v>15</v>
      </c>
      <c r="F915" t="s">
        <v>66</v>
      </c>
      <c r="G915" t="s">
        <v>67</v>
      </c>
      <c r="H915">
        <v>3</v>
      </c>
      <c r="I915">
        <v>0.15</v>
      </c>
      <c r="J915">
        <v>152.87</v>
      </c>
      <c r="K915" t="s">
        <v>27</v>
      </c>
      <c r="L915" t="s">
        <v>28</v>
      </c>
      <c r="M915">
        <v>1</v>
      </c>
    </row>
    <row r="916" spans="1:13" x14ac:dyDescent="0.2">
      <c r="A916">
        <v>915</v>
      </c>
      <c r="B916" t="s">
        <v>74</v>
      </c>
      <c r="C916" s="1">
        <v>45275</v>
      </c>
      <c r="D916" t="s">
        <v>75</v>
      </c>
      <c r="E916" t="s">
        <v>76</v>
      </c>
      <c r="F916" t="s">
        <v>66</v>
      </c>
      <c r="G916" t="s">
        <v>67</v>
      </c>
      <c r="H916">
        <v>1</v>
      </c>
      <c r="I916">
        <v>0.1</v>
      </c>
      <c r="J916">
        <v>40.46</v>
      </c>
      <c r="K916" t="s">
        <v>18</v>
      </c>
      <c r="L916" t="s">
        <v>45</v>
      </c>
      <c r="M916" t="s">
        <v>77</v>
      </c>
    </row>
    <row r="917" spans="1:13" x14ac:dyDescent="0.2">
      <c r="A917">
        <v>916</v>
      </c>
      <c r="B917" t="s">
        <v>24</v>
      </c>
      <c r="C917" s="1">
        <v>45652</v>
      </c>
      <c r="D917" t="s">
        <v>87</v>
      </c>
      <c r="E917" t="s">
        <v>39</v>
      </c>
      <c r="F917" t="s">
        <v>26</v>
      </c>
      <c r="G917" t="s">
        <v>22</v>
      </c>
      <c r="H917">
        <v>4</v>
      </c>
      <c r="I917">
        <v>0.15</v>
      </c>
      <c r="J917">
        <v>152.83000000000001</v>
      </c>
      <c r="K917" t="s">
        <v>27</v>
      </c>
      <c r="L917" t="s">
        <v>28</v>
      </c>
      <c r="M917" t="b">
        <v>1</v>
      </c>
    </row>
    <row r="918" spans="1:13" x14ac:dyDescent="0.2">
      <c r="A918">
        <v>917</v>
      </c>
      <c r="B918" t="s">
        <v>64</v>
      </c>
      <c r="C918" s="2">
        <v>45176</v>
      </c>
      <c r="D918" t="s">
        <v>65</v>
      </c>
      <c r="E918" t="s">
        <v>33</v>
      </c>
      <c r="F918" t="s">
        <v>16</v>
      </c>
      <c r="G918" t="s">
        <v>17</v>
      </c>
      <c r="H918">
        <v>3</v>
      </c>
      <c r="I918">
        <v>0.25</v>
      </c>
      <c r="J918">
        <v>168.64</v>
      </c>
      <c r="K918" t="s">
        <v>80</v>
      </c>
      <c r="L918" t="s">
        <v>28</v>
      </c>
      <c r="M918">
        <v>0</v>
      </c>
    </row>
    <row r="919" spans="1:13" x14ac:dyDescent="0.2">
      <c r="A919">
        <v>918</v>
      </c>
      <c r="B919" t="s">
        <v>31</v>
      </c>
      <c r="C919" s="2">
        <v>44967</v>
      </c>
      <c r="D919" t="s">
        <v>32</v>
      </c>
      <c r="E919" t="s">
        <v>33</v>
      </c>
      <c r="F919" t="s">
        <v>16</v>
      </c>
      <c r="G919" t="s">
        <v>17</v>
      </c>
      <c r="H919">
        <v>5</v>
      </c>
      <c r="I919">
        <v>0.2</v>
      </c>
      <c r="J919">
        <v>319.8</v>
      </c>
      <c r="K919" t="s">
        <v>80</v>
      </c>
      <c r="M919" t="b">
        <v>0</v>
      </c>
    </row>
    <row r="920" spans="1:13" x14ac:dyDescent="0.2">
      <c r="A920">
        <v>919</v>
      </c>
      <c r="B920" t="s">
        <v>81</v>
      </c>
      <c r="C920" s="2">
        <v>45254</v>
      </c>
      <c r="D920" t="s">
        <v>82</v>
      </c>
      <c r="E920" t="s">
        <v>15</v>
      </c>
      <c r="F920" t="s">
        <v>53</v>
      </c>
      <c r="G920" t="s">
        <v>54</v>
      </c>
      <c r="H920">
        <v>5</v>
      </c>
      <c r="I920">
        <v>0</v>
      </c>
      <c r="J920">
        <v>399.75</v>
      </c>
      <c r="K920" t="s">
        <v>18</v>
      </c>
      <c r="L920" t="s">
        <v>30</v>
      </c>
      <c r="M920" t="s">
        <v>73</v>
      </c>
    </row>
    <row r="921" spans="1:13" x14ac:dyDescent="0.2">
      <c r="A921">
        <v>920</v>
      </c>
      <c r="B921" t="s">
        <v>61</v>
      </c>
      <c r="C921" s="2">
        <v>45452</v>
      </c>
      <c r="D921" t="s">
        <v>62</v>
      </c>
      <c r="E921" t="s">
        <v>33</v>
      </c>
      <c r="F921" t="s">
        <v>16</v>
      </c>
      <c r="G921" t="s">
        <v>17</v>
      </c>
      <c r="H921">
        <v>2</v>
      </c>
      <c r="I921">
        <v>0</v>
      </c>
      <c r="J921">
        <v>69.98</v>
      </c>
      <c r="K921" t="s">
        <v>29</v>
      </c>
      <c r="L921" t="s">
        <v>55</v>
      </c>
      <c r="M921">
        <v>0</v>
      </c>
    </row>
    <row r="922" spans="1:13" x14ac:dyDescent="0.2">
      <c r="A922">
        <v>921</v>
      </c>
      <c r="B922" t="s">
        <v>58</v>
      </c>
      <c r="C922" s="1">
        <v>45614</v>
      </c>
      <c r="D922" t="s">
        <v>59</v>
      </c>
      <c r="E922" t="s">
        <v>15</v>
      </c>
      <c r="F922" t="s">
        <v>21</v>
      </c>
      <c r="G922" t="s">
        <v>22</v>
      </c>
      <c r="H922">
        <v>3</v>
      </c>
      <c r="I922">
        <v>0.2</v>
      </c>
      <c r="J922">
        <v>143.88</v>
      </c>
      <c r="K922" t="s">
        <v>18</v>
      </c>
      <c r="L922" t="s">
        <v>23</v>
      </c>
      <c r="M922">
        <v>1</v>
      </c>
    </row>
    <row r="923" spans="1:13" x14ac:dyDescent="0.2">
      <c r="A923">
        <v>922</v>
      </c>
      <c r="B923" t="s">
        <v>31</v>
      </c>
      <c r="C923" s="1">
        <v>45370</v>
      </c>
      <c r="D923" t="s">
        <v>32</v>
      </c>
      <c r="E923" t="s">
        <v>33</v>
      </c>
      <c r="G923" t="s">
        <v>25</v>
      </c>
      <c r="H923">
        <v>2</v>
      </c>
      <c r="I923">
        <v>0.1</v>
      </c>
      <c r="J923">
        <v>143.91</v>
      </c>
      <c r="K923" t="s">
        <v>27</v>
      </c>
      <c r="L923" t="s">
        <v>41</v>
      </c>
      <c r="M923" t="b">
        <v>0</v>
      </c>
    </row>
    <row r="924" spans="1:13" x14ac:dyDescent="0.2">
      <c r="A924">
        <v>923</v>
      </c>
      <c r="B924" t="s">
        <v>64</v>
      </c>
      <c r="C924" s="2">
        <v>45546</v>
      </c>
      <c r="D924" t="s">
        <v>65</v>
      </c>
      <c r="E924" t="s">
        <v>33</v>
      </c>
      <c r="F924" t="s">
        <v>21</v>
      </c>
      <c r="G924" t="s">
        <v>22</v>
      </c>
      <c r="H924">
        <v>4</v>
      </c>
      <c r="I924">
        <v>0.15</v>
      </c>
      <c r="J924">
        <v>254.83</v>
      </c>
      <c r="K924" t="s">
        <v>80</v>
      </c>
      <c r="L924" t="s">
        <v>30</v>
      </c>
      <c r="M924">
        <v>0</v>
      </c>
    </row>
    <row r="925" spans="1:13" x14ac:dyDescent="0.2">
      <c r="A925">
        <v>924</v>
      </c>
      <c r="B925" t="s">
        <v>83</v>
      </c>
      <c r="C925" s="1">
        <v>45472</v>
      </c>
      <c r="D925" t="s">
        <v>84</v>
      </c>
      <c r="E925" t="s">
        <v>48</v>
      </c>
      <c r="F925" t="s">
        <v>66</v>
      </c>
      <c r="G925" t="s">
        <v>67</v>
      </c>
      <c r="H925">
        <v>3</v>
      </c>
      <c r="I925">
        <v>0</v>
      </c>
      <c r="J925">
        <v>149.85</v>
      </c>
      <c r="K925" t="s">
        <v>52</v>
      </c>
      <c r="L925" t="s">
        <v>41</v>
      </c>
      <c r="M925">
        <v>0</v>
      </c>
    </row>
    <row r="926" spans="1:13" x14ac:dyDescent="0.2">
      <c r="A926">
        <v>925</v>
      </c>
      <c r="B926" t="s">
        <v>19</v>
      </c>
      <c r="C926" s="2">
        <v>45123</v>
      </c>
      <c r="D926" t="s">
        <v>20</v>
      </c>
      <c r="E926" t="s">
        <v>15</v>
      </c>
      <c r="F926" t="s">
        <v>40</v>
      </c>
      <c r="G926" t="s">
        <v>17</v>
      </c>
      <c r="H926">
        <v>5</v>
      </c>
      <c r="I926">
        <v>0.05</v>
      </c>
      <c r="J926">
        <v>427.26</v>
      </c>
      <c r="K926" t="s">
        <v>52</v>
      </c>
      <c r="L926" t="s">
        <v>49</v>
      </c>
      <c r="M926" t="b">
        <v>1</v>
      </c>
    </row>
    <row r="927" spans="1:13" x14ac:dyDescent="0.2">
      <c r="A927">
        <v>926</v>
      </c>
      <c r="B927" t="s">
        <v>37</v>
      </c>
      <c r="C927" s="1">
        <v>45522</v>
      </c>
      <c r="D927" t="s">
        <v>38</v>
      </c>
      <c r="E927" t="s">
        <v>39</v>
      </c>
      <c r="F927" t="s">
        <v>53</v>
      </c>
      <c r="G927" t="s">
        <v>54</v>
      </c>
      <c r="H927">
        <v>3</v>
      </c>
      <c r="I927">
        <v>0.15</v>
      </c>
      <c r="J927">
        <v>165.62</v>
      </c>
      <c r="K927" t="s">
        <v>29</v>
      </c>
      <c r="L927" t="s">
        <v>63</v>
      </c>
      <c r="M927">
        <v>1</v>
      </c>
    </row>
    <row r="928" spans="1:13" x14ac:dyDescent="0.2">
      <c r="A928">
        <v>927</v>
      </c>
      <c r="B928" t="s">
        <v>68</v>
      </c>
      <c r="C928" s="1">
        <v>45204</v>
      </c>
      <c r="D928" t="s">
        <v>69</v>
      </c>
      <c r="E928" t="s">
        <v>33</v>
      </c>
      <c r="F928" t="s">
        <v>44</v>
      </c>
      <c r="H928">
        <v>2</v>
      </c>
      <c r="I928">
        <v>0.2</v>
      </c>
      <c r="J928">
        <v>190.4</v>
      </c>
      <c r="K928" t="s">
        <v>36</v>
      </c>
      <c r="L928" t="s">
        <v>41</v>
      </c>
      <c r="M928" t="b">
        <v>0</v>
      </c>
    </row>
    <row r="929" spans="1:13" x14ac:dyDescent="0.2">
      <c r="A929">
        <v>928</v>
      </c>
      <c r="B929" t="s">
        <v>37</v>
      </c>
      <c r="C929" s="2">
        <v>45524</v>
      </c>
      <c r="D929" t="s">
        <v>38</v>
      </c>
      <c r="E929" t="s">
        <v>39</v>
      </c>
      <c r="F929" t="s">
        <v>16</v>
      </c>
      <c r="G929" t="s">
        <v>17</v>
      </c>
      <c r="H929">
        <v>3</v>
      </c>
      <c r="I929">
        <v>0.25</v>
      </c>
      <c r="J929">
        <v>146.13999999999999</v>
      </c>
      <c r="K929" t="s">
        <v>80</v>
      </c>
      <c r="L929" t="s">
        <v>41</v>
      </c>
      <c r="M929">
        <v>1</v>
      </c>
    </row>
    <row r="930" spans="1:13" x14ac:dyDescent="0.2">
      <c r="A930">
        <v>929</v>
      </c>
      <c r="B930" t="s">
        <v>46</v>
      </c>
      <c r="C930" s="2">
        <v>44982</v>
      </c>
      <c r="D930" t="s">
        <v>47</v>
      </c>
      <c r="E930" t="s">
        <v>48</v>
      </c>
      <c r="F930" t="s">
        <v>40</v>
      </c>
      <c r="G930" t="s">
        <v>17</v>
      </c>
      <c r="H930">
        <v>2</v>
      </c>
      <c r="I930">
        <v>0</v>
      </c>
      <c r="J930">
        <v>99.9</v>
      </c>
      <c r="K930" t="s">
        <v>52</v>
      </c>
      <c r="L930" t="s">
        <v>55</v>
      </c>
      <c r="M930">
        <v>0</v>
      </c>
    </row>
    <row r="931" spans="1:13" x14ac:dyDescent="0.2">
      <c r="A931">
        <v>930</v>
      </c>
      <c r="B931" t="s">
        <v>13</v>
      </c>
      <c r="C931" s="2">
        <v>45367</v>
      </c>
      <c r="D931" t="s">
        <v>14</v>
      </c>
      <c r="E931" t="s">
        <v>15</v>
      </c>
      <c r="F931" t="s">
        <v>26</v>
      </c>
      <c r="G931" t="s">
        <v>22</v>
      </c>
      <c r="H931">
        <v>1</v>
      </c>
      <c r="I931">
        <v>0.15</v>
      </c>
      <c r="J931">
        <v>16.989999999999998</v>
      </c>
      <c r="K931" t="s">
        <v>52</v>
      </c>
      <c r="L931" t="s">
        <v>30</v>
      </c>
      <c r="M931">
        <v>0</v>
      </c>
    </row>
    <row r="932" spans="1:13" x14ac:dyDescent="0.2">
      <c r="A932">
        <v>931</v>
      </c>
      <c r="B932" t="s">
        <v>19</v>
      </c>
      <c r="C932" s="2">
        <v>45558</v>
      </c>
      <c r="D932" t="s">
        <v>20</v>
      </c>
      <c r="E932" t="s">
        <v>15</v>
      </c>
      <c r="F932" t="s">
        <v>40</v>
      </c>
      <c r="G932" t="s">
        <v>17</v>
      </c>
      <c r="H932">
        <v>2</v>
      </c>
      <c r="I932">
        <v>0.2</v>
      </c>
      <c r="J932">
        <v>143.91999999999999</v>
      </c>
      <c r="K932" t="s">
        <v>80</v>
      </c>
      <c r="L932" t="s">
        <v>63</v>
      </c>
      <c r="M932" t="b">
        <v>1</v>
      </c>
    </row>
    <row r="933" spans="1:13" x14ac:dyDescent="0.2">
      <c r="A933">
        <v>932</v>
      </c>
      <c r="B933" t="s">
        <v>19</v>
      </c>
      <c r="C933" s="2">
        <v>45152</v>
      </c>
      <c r="D933" t="s">
        <v>20</v>
      </c>
      <c r="E933" t="s">
        <v>15</v>
      </c>
      <c r="F933" t="s">
        <v>21</v>
      </c>
      <c r="G933" t="s">
        <v>22</v>
      </c>
      <c r="H933">
        <v>2</v>
      </c>
      <c r="I933">
        <v>0.25</v>
      </c>
      <c r="J933">
        <v>134.93</v>
      </c>
      <c r="K933" t="s">
        <v>18</v>
      </c>
      <c r="L933" t="s">
        <v>45</v>
      </c>
      <c r="M933" t="b">
        <v>1</v>
      </c>
    </row>
    <row r="934" spans="1:13" x14ac:dyDescent="0.2">
      <c r="A934">
        <v>933</v>
      </c>
      <c r="B934" t="s">
        <v>85</v>
      </c>
      <c r="C934" s="1">
        <v>45320</v>
      </c>
      <c r="D934" t="s">
        <v>86</v>
      </c>
      <c r="E934" t="s">
        <v>76</v>
      </c>
      <c r="F934" t="s">
        <v>16</v>
      </c>
      <c r="G934" t="s">
        <v>17</v>
      </c>
      <c r="H934">
        <v>4</v>
      </c>
      <c r="I934">
        <v>0.25</v>
      </c>
      <c r="J934">
        <v>269.85000000000002</v>
      </c>
      <c r="K934" t="s">
        <v>36</v>
      </c>
      <c r="L934" t="s">
        <v>45</v>
      </c>
      <c r="M934" t="s">
        <v>73</v>
      </c>
    </row>
    <row r="935" spans="1:13" x14ac:dyDescent="0.2">
      <c r="A935">
        <v>934</v>
      </c>
      <c r="B935" t="s">
        <v>88</v>
      </c>
      <c r="C935" s="2">
        <v>45548</v>
      </c>
      <c r="D935" t="s">
        <v>89</v>
      </c>
      <c r="E935" t="s">
        <v>33</v>
      </c>
      <c r="F935" t="s">
        <v>40</v>
      </c>
      <c r="G935" t="s">
        <v>17</v>
      </c>
      <c r="H935">
        <v>1</v>
      </c>
      <c r="I935">
        <v>0.25</v>
      </c>
      <c r="J935">
        <v>148.5</v>
      </c>
      <c r="K935" t="s">
        <v>29</v>
      </c>
      <c r="L935" t="s">
        <v>28</v>
      </c>
      <c r="M935" t="b">
        <v>0</v>
      </c>
    </row>
    <row r="936" spans="1:13" x14ac:dyDescent="0.2">
      <c r="A936">
        <v>935</v>
      </c>
      <c r="B936" t="s">
        <v>64</v>
      </c>
      <c r="C936" s="2">
        <v>45541</v>
      </c>
      <c r="D936" t="s">
        <v>65</v>
      </c>
      <c r="E936" t="s">
        <v>33</v>
      </c>
      <c r="F936" t="s">
        <v>21</v>
      </c>
      <c r="G936" t="s">
        <v>22</v>
      </c>
      <c r="H936">
        <v>2</v>
      </c>
      <c r="I936">
        <v>0.1</v>
      </c>
      <c r="J936">
        <v>134.91</v>
      </c>
      <c r="K936" t="s">
        <v>29</v>
      </c>
      <c r="M936">
        <v>0</v>
      </c>
    </row>
    <row r="937" spans="1:13" x14ac:dyDescent="0.2">
      <c r="A937">
        <v>936</v>
      </c>
      <c r="B937" t="s">
        <v>74</v>
      </c>
      <c r="C937" s="2">
        <v>45383</v>
      </c>
      <c r="D937" t="s">
        <v>75</v>
      </c>
      <c r="E937" t="s">
        <v>76</v>
      </c>
      <c r="F937" t="s">
        <v>40</v>
      </c>
      <c r="G937" t="s">
        <v>17</v>
      </c>
      <c r="H937">
        <v>1</v>
      </c>
      <c r="I937">
        <v>0.25</v>
      </c>
      <c r="J937">
        <v>33.71</v>
      </c>
      <c r="K937" t="s">
        <v>36</v>
      </c>
      <c r="L937" t="s">
        <v>28</v>
      </c>
      <c r="M937" t="s">
        <v>77</v>
      </c>
    </row>
    <row r="938" spans="1:13" x14ac:dyDescent="0.2">
      <c r="A938">
        <v>937</v>
      </c>
      <c r="B938" t="s">
        <v>58</v>
      </c>
      <c r="C938" s="1">
        <v>45019</v>
      </c>
      <c r="D938" t="s">
        <v>25</v>
      </c>
      <c r="E938" t="s">
        <v>25</v>
      </c>
      <c r="F938" t="s">
        <v>34</v>
      </c>
      <c r="G938" t="s">
        <v>35</v>
      </c>
      <c r="H938">
        <v>4</v>
      </c>
      <c r="I938">
        <v>0.15</v>
      </c>
      <c r="J938">
        <v>203.83</v>
      </c>
      <c r="K938" t="s">
        <v>18</v>
      </c>
      <c r="L938" t="s">
        <v>23</v>
      </c>
      <c r="M938" t="s">
        <v>25</v>
      </c>
    </row>
    <row r="939" spans="1:13" x14ac:dyDescent="0.2">
      <c r="A939">
        <v>938</v>
      </c>
      <c r="B939" t="s">
        <v>61</v>
      </c>
      <c r="C939" s="2">
        <v>45346</v>
      </c>
      <c r="D939" t="s">
        <v>62</v>
      </c>
      <c r="E939" t="s">
        <v>33</v>
      </c>
      <c r="F939" t="s">
        <v>53</v>
      </c>
      <c r="G939" t="s">
        <v>54</v>
      </c>
      <c r="H939">
        <v>4</v>
      </c>
      <c r="I939">
        <v>0.1</v>
      </c>
      <c r="J939">
        <v>125.96</v>
      </c>
      <c r="K939" t="s">
        <v>18</v>
      </c>
      <c r="L939" t="s">
        <v>45</v>
      </c>
      <c r="M939">
        <v>0</v>
      </c>
    </row>
    <row r="940" spans="1:13" x14ac:dyDescent="0.2">
      <c r="A940">
        <v>939</v>
      </c>
      <c r="B940" t="s">
        <v>50</v>
      </c>
      <c r="C940" s="2">
        <v>45168</v>
      </c>
      <c r="D940" t="s">
        <v>51</v>
      </c>
      <c r="E940" t="s">
        <v>15</v>
      </c>
      <c r="F940" t="s">
        <v>66</v>
      </c>
      <c r="G940" t="s">
        <v>67</v>
      </c>
      <c r="H940">
        <v>5</v>
      </c>
      <c r="I940">
        <v>0.25</v>
      </c>
      <c r="J940">
        <v>262.31</v>
      </c>
      <c r="K940" t="s">
        <v>18</v>
      </c>
      <c r="L940" t="s">
        <v>28</v>
      </c>
      <c r="M940">
        <v>0</v>
      </c>
    </row>
    <row r="941" spans="1:13" x14ac:dyDescent="0.2">
      <c r="A941">
        <v>940</v>
      </c>
      <c r="B941" t="s">
        <v>56</v>
      </c>
      <c r="C941" s="2">
        <v>45118</v>
      </c>
      <c r="D941" t="s">
        <v>57</v>
      </c>
      <c r="E941" t="s">
        <v>48</v>
      </c>
      <c r="F941" t="s">
        <v>44</v>
      </c>
      <c r="H941">
        <v>3</v>
      </c>
      <c r="I941">
        <v>0</v>
      </c>
      <c r="J941">
        <v>255</v>
      </c>
      <c r="K941" t="s">
        <v>80</v>
      </c>
      <c r="L941" t="s">
        <v>45</v>
      </c>
      <c r="M941">
        <v>1</v>
      </c>
    </row>
    <row r="942" spans="1:13" x14ac:dyDescent="0.2">
      <c r="A942">
        <v>941</v>
      </c>
      <c r="B942" t="s">
        <v>58</v>
      </c>
      <c r="C942" s="2">
        <v>45550</v>
      </c>
      <c r="D942" t="s">
        <v>59</v>
      </c>
      <c r="E942" t="s">
        <v>15</v>
      </c>
      <c r="F942" t="s">
        <v>66</v>
      </c>
      <c r="G942" t="s">
        <v>67</v>
      </c>
      <c r="H942">
        <v>4</v>
      </c>
      <c r="I942">
        <v>0</v>
      </c>
      <c r="J942">
        <v>239.8</v>
      </c>
      <c r="K942" t="s">
        <v>18</v>
      </c>
      <c r="L942" t="s">
        <v>45</v>
      </c>
      <c r="M942">
        <v>1</v>
      </c>
    </row>
    <row r="943" spans="1:13" x14ac:dyDescent="0.2">
      <c r="A943">
        <v>942</v>
      </c>
      <c r="B943" t="s">
        <v>74</v>
      </c>
      <c r="C943" s="2">
        <v>45468</v>
      </c>
      <c r="D943" t="s">
        <v>75</v>
      </c>
      <c r="E943" t="s">
        <v>76</v>
      </c>
      <c r="F943" t="s">
        <v>16</v>
      </c>
      <c r="G943" t="s">
        <v>17</v>
      </c>
      <c r="H943">
        <v>2</v>
      </c>
      <c r="I943">
        <v>0</v>
      </c>
      <c r="J943">
        <v>89.9</v>
      </c>
      <c r="K943" t="s">
        <v>29</v>
      </c>
      <c r="L943" t="s">
        <v>30</v>
      </c>
      <c r="M943" t="s">
        <v>77</v>
      </c>
    </row>
    <row r="944" spans="1:13" x14ac:dyDescent="0.2">
      <c r="A944">
        <v>943</v>
      </c>
      <c r="B944" t="s">
        <v>64</v>
      </c>
      <c r="C944" s="2">
        <v>45438</v>
      </c>
      <c r="D944" t="s">
        <v>65</v>
      </c>
      <c r="E944" t="s">
        <v>33</v>
      </c>
      <c r="F944" t="s">
        <v>21</v>
      </c>
      <c r="G944" t="s">
        <v>22</v>
      </c>
      <c r="H944">
        <v>5</v>
      </c>
      <c r="I944">
        <v>0.2</v>
      </c>
      <c r="J944">
        <v>299.8</v>
      </c>
      <c r="K944" t="s">
        <v>80</v>
      </c>
      <c r="L944" t="s">
        <v>45</v>
      </c>
      <c r="M944">
        <v>0</v>
      </c>
    </row>
    <row r="945" spans="1:13" x14ac:dyDescent="0.2">
      <c r="A945">
        <v>944</v>
      </c>
      <c r="B945" t="s">
        <v>13</v>
      </c>
      <c r="C945" s="2">
        <v>45147</v>
      </c>
      <c r="D945" t="s">
        <v>14</v>
      </c>
      <c r="E945" t="s">
        <v>15</v>
      </c>
      <c r="F945" t="s">
        <v>40</v>
      </c>
      <c r="G945" t="s">
        <v>17</v>
      </c>
      <c r="H945">
        <v>3</v>
      </c>
      <c r="I945">
        <v>0.25</v>
      </c>
      <c r="J945">
        <v>44.98</v>
      </c>
      <c r="K945" t="s">
        <v>27</v>
      </c>
      <c r="L945" t="s">
        <v>63</v>
      </c>
      <c r="M945">
        <v>0</v>
      </c>
    </row>
    <row r="946" spans="1:13" x14ac:dyDescent="0.2">
      <c r="A946">
        <v>945</v>
      </c>
      <c r="B946" t="s">
        <v>13</v>
      </c>
      <c r="C946" s="2">
        <v>45335</v>
      </c>
      <c r="D946" t="s">
        <v>14</v>
      </c>
      <c r="E946" t="s">
        <v>15</v>
      </c>
      <c r="F946" t="s">
        <v>66</v>
      </c>
      <c r="G946" t="s">
        <v>67</v>
      </c>
      <c r="H946">
        <v>2</v>
      </c>
      <c r="I946">
        <v>0.25</v>
      </c>
      <c r="J946">
        <v>29.98</v>
      </c>
      <c r="K946" t="s">
        <v>29</v>
      </c>
      <c r="L946" t="s">
        <v>30</v>
      </c>
      <c r="M946">
        <v>0</v>
      </c>
    </row>
    <row r="947" spans="1:13" x14ac:dyDescent="0.2">
      <c r="A947">
        <v>946</v>
      </c>
      <c r="B947" t="s">
        <v>50</v>
      </c>
      <c r="C947" s="1">
        <v>45322</v>
      </c>
      <c r="D947" t="s">
        <v>51</v>
      </c>
      <c r="E947" t="s">
        <v>15</v>
      </c>
      <c r="F947" t="s">
        <v>16</v>
      </c>
      <c r="G947" t="s">
        <v>17</v>
      </c>
      <c r="H947">
        <v>3</v>
      </c>
      <c r="I947">
        <v>0</v>
      </c>
      <c r="J947">
        <v>209.85</v>
      </c>
      <c r="K947" t="s">
        <v>29</v>
      </c>
      <c r="M947">
        <v>0</v>
      </c>
    </row>
    <row r="948" spans="1:13" x14ac:dyDescent="0.2">
      <c r="A948">
        <v>947</v>
      </c>
      <c r="B948" t="s">
        <v>42</v>
      </c>
      <c r="C948" s="2">
        <v>45445</v>
      </c>
      <c r="D948" t="s">
        <v>25</v>
      </c>
      <c r="E948" t="s">
        <v>25</v>
      </c>
      <c r="G948" t="s">
        <v>25</v>
      </c>
      <c r="H948">
        <v>3</v>
      </c>
      <c r="I948">
        <v>0.15</v>
      </c>
      <c r="J948">
        <v>328.95</v>
      </c>
      <c r="K948" t="s">
        <v>52</v>
      </c>
      <c r="L948" t="s">
        <v>63</v>
      </c>
      <c r="M948" t="s">
        <v>25</v>
      </c>
    </row>
    <row r="949" spans="1:13" x14ac:dyDescent="0.2">
      <c r="A949">
        <v>948</v>
      </c>
      <c r="B949" t="s">
        <v>13</v>
      </c>
      <c r="C949" s="2">
        <v>45398</v>
      </c>
      <c r="D949" t="s">
        <v>14</v>
      </c>
      <c r="E949" t="s">
        <v>15</v>
      </c>
      <c r="F949" t="s">
        <v>40</v>
      </c>
      <c r="G949" t="s">
        <v>17</v>
      </c>
      <c r="H949">
        <v>4</v>
      </c>
      <c r="I949">
        <v>0.2</v>
      </c>
      <c r="J949">
        <v>63.97</v>
      </c>
      <c r="K949" t="s">
        <v>80</v>
      </c>
      <c r="L949" t="s">
        <v>49</v>
      </c>
      <c r="M949">
        <v>0</v>
      </c>
    </row>
    <row r="950" spans="1:13" x14ac:dyDescent="0.2">
      <c r="A950">
        <v>949</v>
      </c>
      <c r="B950" t="s">
        <v>56</v>
      </c>
      <c r="C950" s="1">
        <v>45265</v>
      </c>
      <c r="D950" t="s">
        <v>57</v>
      </c>
      <c r="E950" t="s">
        <v>48</v>
      </c>
      <c r="F950" t="s">
        <v>26</v>
      </c>
      <c r="G950" t="s">
        <v>22</v>
      </c>
      <c r="H950">
        <v>5</v>
      </c>
      <c r="I950">
        <v>0</v>
      </c>
      <c r="J950">
        <v>425</v>
      </c>
      <c r="K950" t="s">
        <v>29</v>
      </c>
      <c r="L950" t="s">
        <v>45</v>
      </c>
      <c r="M950">
        <v>1</v>
      </c>
    </row>
    <row r="951" spans="1:13" x14ac:dyDescent="0.2">
      <c r="A951">
        <v>950</v>
      </c>
      <c r="B951" t="s">
        <v>58</v>
      </c>
      <c r="C951" s="2">
        <v>45126</v>
      </c>
      <c r="D951" t="s">
        <v>59</v>
      </c>
      <c r="E951" t="s">
        <v>15</v>
      </c>
      <c r="F951" t="s">
        <v>34</v>
      </c>
      <c r="G951" t="s">
        <v>35</v>
      </c>
      <c r="H951">
        <v>1</v>
      </c>
      <c r="I951">
        <v>0.1</v>
      </c>
      <c r="J951">
        <v>53.96</v>
      </c>
      <c r="K951" t="s">
        <v>18</v>
      </c>
      <c r="L951" t="s">
        <v>23</v>
      </c>
      <c r="M951">
        <v>1</v>
      </c>
    </row>
    <row r="952" spans="1:13" x14ac:dyDescent="0.2">
      <c r="A952">
        <v>951</v>
      </c>
      <c r="B952" t="s">
        <v>64</v>
      </c>
      <c r="C952" s="1">
        <v>45096</v>
      </c>
      <c r="D952" t="s">
        <v>65</v>
      </c>
      <c r="E952" t="s">
        <v>33</v>
      </c>
      <c r="F952" t="s">
        <v>26</v>
      </c>
      <c r="G952" t="s">
        <v>22</v>
      </c>
      <c r="H952">
        <v>4</v>
      </c>
      <c r="I952">
        <v>0</v>
      </c>
      <c r="J952">
        <v>299.8</v>
      </c>
      <c r="K952" t="s">
        <v>29</v>
      </c>
      <c r="L952" t="s">
        <v>63</v>
      </c>
      <c r="M952">
        <v>0</v>
      </c>
    </row>
    <row r="953" spans="1:13" x14ac:dyDescent="0.2">
      <c r="A953">
        <v>952</v>
      </c>
      <c r="B953" t="s">
        <v>81</v>
      </c>
      <c r="C953" s="1">
        <v>45086</v>
      </c>
      <c r="D953" t="s">
        <v>82</v>
      </c>
      <c r="E953" t="s">
        <v>15</v>
      </c>
      <c r="F953" t="s">
        <v>53</v>
      </c>
      <c r="G953" t="s">
        <v>54</v>
      </c>
      <c r="H953">
        <v>5</v>
      </c>
      <c r="I953">
        <v>0.15</v>
      </c>
      <c r="J953">
        <v>339.79</v>
      </c>
      <c r="K953" t="s">
        <v>80</v>
      </c>
      <c r="L953" t="s">
        <v>49</v>
      </c>
      <c r="M953" t="s">
        <v>73</v>
      </c>
    </row>
    <row r="954" spans="1:13" x14ac:dyDescent="0.2">
      <c r="A954">
        <v>953</v>
      </c>
      <c r="B954" t="s">
        <v>78</v>
      </c>
      <c r="C954" s="2">
        <v>45532</v>
      </c>
      <c r="D954" t="s">
        <v>79</v>
      </c>
      <c r="E954" t="s">
        <v>48</v>
      </c>
      <c r="F954" t="s">
        <v>40</v>
      </c>
      <c r="G954" t="s">
        <v>17</v>
      </c>
      <c r="H954">
        <v>3</v>
      </c>
      <c r="I954">
        <v>0.25</v>
      </c>
      <c r="J954">
        <v>89.89</v>
      </c>
      <c r="K954" t="s">
        <v>27</v>
      </c>
      <c r="L954" t="s">
        <v>28</v>
      </c>
      <c r="M954">
        <v>1</v>
      </c>
    </row>
    <row r="955" spans="1:13" x14ac:dyDescent="0.2">
      <c r="A955">
        <v>954</v>
      </c>
      <c r="B955" t="s">
        <v>46</v>
      </c>
      <c r="C955" s="2">
        <v>45336</v>
      </c>
      <c r="D955" t="s">
        <v>47</v>
      </c>
      <c r="E955" t="s">
        <v>48</v>
      </c>
      <c r="F955" t="s">
        <v>66</v>
      </c>
      <c r="G955" t="s">
        <v>67</v>
      </c>
      <c r="H955">
        <v>5</v>
      </c>
      <c r="I955">
        <v>0.15</v>
      </c>
      <c r="J955">
        <v>212.29</v>
      </c>
      <c r="K955" t="s">
        <v>36</v>
      </c>
      <c r="L955" t="s">
        <v>28</v>
      </c>
      <c r="M955">
        <v>0</v>
      </c>
    </row>
    <row r="956" spans="1:13" x14ac:dyDescent="0.2">
      <c r="A956">
        <v>955</v>
      </c>
      <c r="B956" t="s">
        <v>85</v>
      </c>
      <c r="C956" s="2">
        <v>45411</v>
      </c>
      <c r="D956" t="s">
        <v>86</v>
      </c>
      <c r="E956" t="s">
        <v>76</v>
      </c>
      <c r="F956" t="s">
        <v>26</v>
      </c>
      <c r="G956" t="s">
        <v>22</v>
      </c>
      <c r="H956">
        <v>4</v>
      </c>
      <c r="I956">
        <v>0.2</v>
      </c>
      <c r="J956">
        <v>287.83999999999997</v>
      </c>
      <c r="K956" t="s">
        <v>29</v>
      </c>
      <c r="L956" t="s">
        <v>45</v>
      </c>
      <c r="M956" t="s">
        <v>73</v>
      </c>
    </row>
    <row r="957" spans="1:13" x14ac:dyDescent="0.2">
      <c r="A957">
        <v>956</v>
      </c>
      <c r="B957" t="s">
        <v>19</v>
      </c>
      <c r="C957" s="1">
        <v>45090</v>
      </c>
      <c r="D957" t="s">
        <v>25</v>
      </c>
      <c r="E957" t="s">
        <v>25</v>
      </c>
      <c r="F957" t="s">
        <v>21</v>
      </c>
      <c r="G957" t="s">
        <v>22</v>
      </c>
      <c r="H957">
        <v>3</v>
      </c>
      <c r="I957">
        <v>0.05</v>
      </c>
      <c r="J957">
        <v>256.36</v>
      </c>
      <c r="K957" t="s">
        <v>52</v>
      </c>
      <c r="L957" t="s">
        <v>45</v>
      </c>
      <c r="M957" t="s">
        <v>25</v>
      </c>
    </row>
    <row r="958" spans="1:13" x14ac:dyDescent="0.2">
      <c r="A958">
        <v>957</v>
      </c>
      <c r="B958" t="s">
        <v>61</v>
      </c>
      <c r="C958" s="2">
        <v>44960</v>
      </c>
      <c r="D958" t="s">
        <v>62</v>
      </c>
      <c r="E958" t="s">
        <v>33</v>
      </c>
      <c r="F958" t="s">
        <v>16</v>
      </c>
      <c r="G958" t="s">
        <v>17</v>
      </c>
      <c r="H958">
        <v>1</v>
      </c>
      <c r="I958">
        <v>0</v>
      </c>
      <c r="J958">
        <v>34.99</v>
      </c>
      <c r="K958" t="s">
        <v>18</v>
      </c>
      <c r="L958" t="s">
        <v>41</v>
      </c>
      <c r="M958">
        <v>0</v>
      </c>
    </row>
    <row r="959" spans="1:13" x14ac:dyDescent="0.2">
      <c r="A959">
        <v>958</v>
      </c>
      <c r="B959" t="s">
        <v>88</v>
      </c>
      <c r="C959" s="2">
        <v>45556</v>
      </c>
      <c r="D959" t="s">
        <v>89</v>
      </c>
      <c r="E959" t="s">
        <v>33</v>
      </c>
      <c r="F959" t="s">
        <v>53</v>
      </c>
      <c r="G959" t="s">
        <v>54</v>
      </c>
      <c r="H959">
        <v>1</v>
      </c>
      <c r="I959">
        <v>0</v>
      </c>
      <c r="J959">
        <v>198</v>
      </c>
      <c r="K959" t="s">
        <v>27</v>
      </c>
      <c r="L959" t="s">
        <v>55</v>
      </c>
      <c r="M959" t="b">
        <v>0</v>
      </c>
    </row>
    <row r="960" spans="1:13" x14ac:dyDescent="0.2">
      <c r="A960">
        <v>959</v>
      </c>
      <c r="B960" t="s">
        <v>71</v>
      </c>
      <c r="C960" s="2">
        <v>45547</v>
      </c>
      <c r="D960" t="s">
        <v>72</v>
      </c>
      <c r="E960" t="s">
        <v>33</v>
      </c>
      <c r="F960" t="s">
        <v>16</v>
      </c>
      <c r="G960" t="s">
        <v>17</v>
      </c>
      <c r="H960">
        <v>3</v>
      </c>
      <c r="I960">
        <v>0</v>
      </c>
      <c r="J960">
        <v>179.85</v>
      </c>
      <c r="K960" t="s">
        <v>29</v>
      </c>
      <c r="L960" t="s">
        <v>55</v>
      </c>
      <c r="M960" t="s">
        <v>73</v>
      </c>
    </row>
    <row r="961" spans="1:13" x14ac:dyDescent="0.2">
      <c r="A961">
        <v>960</v>
      </c>
      <c r="B961" t="s">
        <v>83</v>
      </c>
      <c r="C961" s="1">
        <v>45596</v>
      </c>
      <c r="D961" t="s">
        <v>84</v>
      </c>
      <c r="E961" t="s">
        <v>48</v>
      </c>
      <c r="F961" t="s">
        <v>66</v>
      </c>
      <c r="G961" t="s">
        <v>67</v>
      </c>
      <c r="H961">
        <v>4</v>
      </c>
      <c r="I961">
        <v>0.15</v>
      </c>
      <c r="J961">
        <v>169.83</v>
      </c>
      <c r="K961" t="s">
        <v>52</v>
      </c>
      <c r="L961" t="s">
        <v>30</v>
      </c>
      <c r="M961">
        <v>0</v>
      </c>
    </row>
    <row r="962" spans="1:13" x14ac:dyDescent="0.2">
      <c r="A962">
        <v>961</v>
      </c>
      <c r="B962" t="s">
        <v>58</v>
      </c>
      <c r="C962" s="2">
        <v>45037</v>
      </c>
      <c r="D962" t="s">
        <v>59</v>
      </c>
      <c r="E962" t="s">
        <v>15</v>
      </c>
      <c r="F962" t="s">
        <v>66</v>
      </c>
      <c r="G962" t="s">
        <v>67</v>
      </c>
      <c r="H962">
        <v>1</v>
      </c>
      <c r="I962">
        <v>0</v>
      </c>
      <c r="J962">
        <v>59.95</v>
      </c>
      <c r="K962" t="s">
        <v>18</v>
      </c>
      <c r="L962" t="s">
        <v>55</v>
      </c>
      <c r="M962">
        <v>1</v>
      </c>
    </row>
    <row r="963" spans="1:13" x14ac:dyDescent="0.2">
      <c r="A963">
        <v>962</v>
      </c>
      <c r="B963" t="s">
        <v>37</v>
      </c>
      <c r="C963" s="2">
        <v>45327</v>
      </c>
      <c r="D963" t="s">
        <v>38</v>
      </c>
      <c r="E963" t="s">
        <v>39</v>
      </c>
      <c r="F963" t="s">
        <v>53</v>
      </c>
      <c r="G963" t="s">
        <v>54</v>
      </c>
      <c r="H963">
        <v>4</v>
      </c>
      <c r="I963">
        <v>0</v>
      </c>
      <c r="J963">
        <v>259.8</v>
      </c>
      <c r="K963" t="s">
        <v>18</v>
      </c>
      <c r="L963" t="s">
        <v>49</v>
      </c>
      <c r="M963">
        <v>1</v>
      </c>
    </row>
    <row r="964" spans="1:13" x14ac:dyDescent="0.2">
      <c r="A964">
        <v>963</v>
      </c>
      <c r="B964" t="s">
        <v>88</v>
      </c>
      <c r="C964" s="2">
        <v>45651</v>
      </c>
      <c r="D964" t="s">
        <v>89</v>
      </c>
      <c r="E964" t="s">
        <v>33</v>
      </c>
      <c r="F964" t="s">
        <v>21</v>
      </c>
      <c r="G964" t="s">
        <v>22</v>
      </c>
      <c r="H964">
        <v>4</v>
      </c>
      <c r="I964">
        <v>0</v>
      </c>
      <c r="J964">
        <v>792</v>
      </c>
      <c r="K964" t="s">
        <v>36</v>
      </c>
      <c r="L964" t="s">
        <v>49</v>
      </c>
      <c r="M964" t="b">
        <v>0</v>
      </c>
    </row>
    <row r="965" spans="1:13" x14ac:dyDescent="0.2">
      <c r="A965">
        <v>964</v>
      </c>
      <c r="B965" t="s">
        <v>83</v>
      </c>
      <c r="C965" s="1">
        <v>45172</v>
      </c>
      <c r="D965" t="s">
        <v>84</v>
      </c>
      <c r="E965" t="s">
        <v>48</v>
      </c>
      <c r="F965" t="s">
        <v>16</v>
      </c>
      <c r="G965" t="s">
        <v>17</v>
      </c>
      <c r="H965">
        <v>3</v>
      </c>
      <c r="I965">
        <v>0</v>
      </c>
      <c r="J965">
        <v>149.85</v>
      </c>
      <c r="K965" t="s">
        <v>18</v>
      </c>
      <c r="L965" t="s">
        <v>23</v>
      </c>
      <c r="M965">
        <v>0</v>
      </c>
    </row>
    <row r="966" spans="1:13" x14ac:dyDescent="0.2">
      <c r="A966">
        <v>965</v>
      </c>
      <c r="B966" t="s">
        <v>88</v>
      </c>
      <c r="C966" s="2">
        <v>45133</v>
      </c>
      <c r="D966" t="s">
        <v>89</v>
      </c>
      <c r="E966" t="s">
        <v>33</v>
      </c>
      <c r="F966" t="s">
        <v>40</v>
      </c>
      <c r="G966" t="s">
        <v>17</v>
      </c>
      <c r="H966">
        <v>1</v>
      </c>
      <c r="I966">
        <v>0</v>
      </c>
      <c r="J966">
        <v>198</v>
      </c>
      <c r="K966" t="s">
        <v>80</v>
      </c>
      <c r="L966" t="s">
        <v>41</v>
      </c>
      <c r="M966" t="b">
        <v>0</v>
      </c>
    </row>
    <row r="967" spans="1:13" x14ac:dyDescent="0.2">
      <c r="A967">
        <v>966</v>
      </c>
      <c r="B967" t="s">
        <v>85</v>
      </c>
      <c r="C967" s="2">
        <v>45394</v>
      </c>
      <c r="D967" t="s">
        <v>25</v>
      </c>
      <c r="E967" t="s">
        <v>25</v>
      </c>
      <c r="F967" t="s">
        <v>34</v>
      </c>
      <c r="G967" t="s">
        <v>35</v>
      </c>
      <c r="H967">
        <v>1</v>
      </c>
      <c r="I967">
        <v>0.25</v>
      </c>
      <c r="J967">
        <v>67.459999999999994</v>
      </c>
      <c r="K967" t="s">
        <v>80</v>
      </c>
      <c r="L967" t="s">
        <v>30</v>
      </c>
      <c r="M967" t="s">
        <v>25</v>
      </c>
    </row>
    <row r="968" spans="1:13" x14ac:dyDescent="0.2">
      <c r="A968">
        <v>967</v>
      </c>
      <c r="B968" t="s">
        <v>71</v>
      </c>
      <c r="C968" s="2">
        <v>45155</v>
      </c>
      <c r="D968" t="s">
        <v>72</v>
      </c>
      <c r="E968" t="s">
        <v>33</v>
      </c>
      <c r="F968" t="s">
        <v>44</v>
      </c>
      <c r="H968">
        <v>5</v>
      </c>
      <c r="I968">
        <v>0.05</v>
      </c>
      <c r="J968">
        <v>284.76</v>
      </c>
      <c r="K968" t="s">
        <v>80</v>
      </c>
      <c r="L968" t="s">
        <v>49</v>
      </c>
      <c r="M968" t="s">
        <v>73</v>
      </c>
    </row>
    <row r="969" spans="1:13" x14ac:dyDescent="0.2">
      <c r="A969">
        <v>968</v>
      </c>
      <c r="B969" t="s">
        <v>24</v>
      </c>
      <c r="C969" s="2">
        <v>44975</v>
      </c>
      <c r="D969" t="s">
        <v>87</v>
      </c>
      <c r="E969" t="s">
        <v>39</v>
      </c>
      <c r="F969" t="s">
        <v>34</v>
      </c>
      <c r="G969" t="s">
        <v>35</v>
      </c>
      <c r="H969">
        <v>2</v>
      </c>
      <c r="I969">
        <v>0.2</v>
      </c>
      <c r="J969">
        <v>71.92</v>
      </c>
      <c r="K969" t="s">
        <v>29</v>
      </c>
      <c r="L969" t="s">
        <v>23</v>
      </c>
      <c r="M969" t="b">
        <v>1</v>
      </c>
    </row>
    <row r="970" spans="1:13" x14ac:dyDescent="0.2">
      <c r="A970">
        <v>969</v>
      </c>
      <c r="B970" t="s">
        <v>71</v>
      </c>
      <c r="C970" s="1">
        <v>45604</v>
      </c>
      <c r="D970" t="s">
        <v>72</v>
      </c>
      <c r="E970" t="s">
        <v>33</v>
      </c>
      <c r="F970" t="s">
        <v>53</v>
      </c>
      <c r="G970" t="s">
        <v>54</v>
      </c>
      <c r="H970">
        <v>1</v>
      </c>
      <c r="I970">
        <v>0.25</v>
      </c>
      <c r="J970">
        <v>44.96</v>
      </c>
      <c r="K970" t="s">
        <v>80</v>
      </c>
      <c r="L970" t="s">
        <v>63</v>
      </c>
      <c r="M970" t="s">
        <v>73</v>
      </c>
    </row>
    <row r="971" spans="1:13" x14ac:dyDescent="0.2">
      <c r="A971">
        <v>970</v>
      </c>
      <c r="B971" t="s">
        <v>13</v>
      </c>
      <c r="C971" s="2">
        <v>45178</v>
      </c>
      <c r="D971" t="s">
        <v>14</v>
      </c>
      <c r="E971" t="s">
        <v>15</v>
      </c>
      <c r="G971" t="s">
        <v>25</v>
      </c>
      <c r="H971">
        <v>4</v>
      </c>
      <c r="I971">
        <v>0</v>
      </c>
      <c r="J971">
        <v>79.959999999999994</v>
      </c>
      <c r="K971" t="s">
        <v>36</v>
      </c>
      <c r="L971" t="s">
        <v>49</v>
      </c>
      <c r="M971">
        <v>0</v>
      </c>
    </row>
    <row r="972" spans="1:13" x14ac:dyDescent="0.2">
      <c r="A972">
        <v>971</v>
      </c>
      <c r="B972" t="s">
        <v>37</v>
      </c>
      <c r="C972" s="1">
        <v>45243</v>
      </c>
      <c r="D972" t="s">
        <v>38</v>
      </c>
      <c r="E972" t="s">
        <v>39</v>
      </c>
      <c r="F972" t="s">
        <v>21</v>
      </c>
      <c r="G972" t="s">
        <v>22</v>
      </c>
      <c r="H972">
        <v>2</v>
      </c>
      <c r="I972">
        <v>0.15</v>
      </c>
      <c r="J972">
        <v>110.42</v>
      </c>
      <c r="K972" t="s">
        <v>52</v>
      </c>
      <c r="L972" t="s">
        <v>55</v>
      </c>
      <c r="M972">
        <v>1</v>
      </c>
    </row>
    <row r="973" spans="1:13" x14ac:dyDescent="0.2">
      <c r="A973">
        <v>972</v>
      </c>
      <c r="B973" t="s">
        <v>31</v>
      </c>
      <c r="C973" s="1">
        <v>45439</v>
      </c>
      <c r="D973" t="s">
        <v>32</v>
      </c>
      <c r="E973" t="s">
        <v>33</v>
      </c>
      <c r="F973" t="s">
        <v>53</v>
      </c>
      <c r="G973" t="s">
        <v>54</v>
      </c>
      <c r="H973">
        <v>1</v>
      </c>
      <c r="I973">
        <v>0.25</v>
      </c>
      <c r="J973">
        <v>59.96</v>
      </c>
      <c r="K973" t="s">
        <v>27</v>
      </c>
      <c r="L973" t="s">
        <v>49</v>
      </c>
      <c r="M973" t="b">
        <v>0</v>
      </c>
    </row>
    <row r="974" spans="1:13" x14ac:dyDescent="0.2">
      <c r="A974">
        <v>973</v>
      </c>
      <c r="B974" t="s">
        <v>37</v>
      </c>
      <c r="C974" s="2">
        <v>45015</v>
      </c>
      <c r="D974" t="s">
        <v>38</v>
      </c>
      <c r="E974" t="s">
        <v>39</v>
      </c>
      <c r="F974" t="s">
        <v>21</v>
      </c>
      <c r="G974" t="s">
        <v>22</v>
      </c>
      <c r="H974">
        <v>5</v>
      </c>
      <c r="I974">
        <v>0.1</v>
      </c>
      <c r="J974">
        <v>292.27999999999997</v>
      </c>
      <c r="K974" t="s">
        <v>80</v>
      </c>
      <c r="L974" t="s">
        <v>23</v>
      </c>
      <c r="M974">
        <v>1</v>
      </c>
    </row>
    <row r="975" spans="1:13" x14ac:dyDescent="0.2">
      <c r="A975">
        <v>974</v>
      </c>
      <c r="B975" t="s">
        <v>74</v>
      </c>
      <c r="C975" s="2">
        <v>45098</v>
      </c>
      <c r="D975" t="s">
        <v>75</v>
      </c>
      <c r="E975" t="s">
        <v>76</v>
      </c>
      <c r="F975" t="s">
        <v>40</v>
      </c>
      <c r="G975" t="s">
        <v>17</v>
      </c>
      <c r="H975">
        <v>4</v>
      </c>
      <c r="I975">
        <v>0</v>
      </c>
      <c r="J975">
        <v>179.8</v>
      </c>
      <c r="K975" t="s">
        <v>18</v>
      </c>
      <c r="L975" t="s">
        <v>28</v>
      </c>
      <c r="M975" t="s">
        <v>77</v>
      </c>
    </row>
    <row r="976" spans="1:13" x14ac:dyDescent="0.2">
      <c r="A976">
        <v>975</v>
      </c>
      <c r="B976" t="s">
        <v>56</v>
      </c>
      <c r="C976" s="2">
        <v>45304</v>
      </c>
      <c r="D976" t="s">
        <v>25</v>
      </c>
      <c r="E976" t="s">
        <v>25</v>
      </c>
      <c r="F976" t="s">
        <v>44</v>
      </c>
      <c r="H976">
        <v>4</v>
      </c>
      <c r="I976">
        <v>0.2</v>
      </c>
      <c r="J976">
        <v>272</v>
      </c>
      <c r="K976" t="s">
        <v>36</v>
      </c>
      <c r="L976" t="s">
        <v>49</v>
      </c>
      <c r="M976" t="s">
        <v>25</v>
      </c>
    </row>
    <row r="977" spans="1:13" x14ac:dyDescent="0.2">
      <c r="A977">
        <v>976</v>
      </c>
      <c r="B977" t="s">
        <v>85</v>
      </c>
      <c r="C977" s="2">
        <v>45064</v>
      </c>
      <c r="D977" t="s">
        <v>86</v>
      </c>
      <c r="E977" t="s">
        <v>76</v>
      </c>
      <c r="F977" t="s">
        <v>40</v>
      </c>
      <c r="G977" t="s">
        <v>17</v>
      </c>
      <c r="H977">
        <v>1</v>
      </c>
      <c r="I977">
        <v>0.15</v>
      </c>
      <c r="J977">
        <v>76.459999999999994</v>
      </c>
      <c r="K977" t="s">
        <v>27</v>
      </c>
      <c r="L977" t="s">
        <v>41</v>
      </c>
      <c r="M977" t="s">
        <v>73</v>
      </c>
    </row>
    <row r="978" spans="1:13" x14ac:dyDescent="0.2">
      <c r="A978">
        <v>977</v>
      </c>
      <c r="B978" t="s">
        <v>88</v>
      </c>
      <c r="C978" s="2">
        <v>44966</v>
      </c>
      <c r="D978" t="s">
        <v>89</v>
      </c>
      <c r="E978" t="s">
        <v>33</v>
      </c>
      <c r="F978" t="s">
        <v>26</v>
      </c>
      <c r="G978" t="s">
        <v>22</v>
      </c>
      <c r="H978">
        <v>2</v>
      </c>
      <c r="I978">
        <v>0.1</v>
      </c>
      <c r="J978">
        <v>356.4</v>
      </c>
      <c r="K978" t="s">
        <v>52</v>
      </c>
      <c r="L978" t="s">
        <v>28</v>
      </c>
      <c r="M978" t="b">
        <v>0</v>
      </c>
    </row>
    <row r="979" spans="1:13" x14ac:dyDescent="0.2">
      <c r="A979">
        <v>978</v>
      </c>
      <c r="B979" t="s">
        <v>42</v>
      </c>
      <c r="C979" s="1">
        <v>45242</v>
      </c>
      <c r="D979" t="s">
        <v>43</v>
      </c>
      <c r="E979" t="s">
        <v>15</v>
      </c>
      <c r="F979" t="s">
        <v>21</v>
      </c>
      <c r="G979" t="s">
        <v>22</v>
      </c>
      <c r="H979">
        <v>5</v>
      </c>
      <c r="I979">
        <v>0.15</v>
      </c>
      <c r="J979">
        <v>548.25</v>
      </c>
      <c r="K979" t="s">
        <v>29</v>
      </c>
      <c r="L979" t="s">
        <v>55</v>
      </c>
      <c r="M979" t="b">
        <v>1</v>
      </c>
    </row>
    <row r="980" spans="1:13" x14ac:dyDescent="0.2">
      <c r="A980">
        <v>979</v>
      </c>
      <c r="B980" t="s">
        <v>68</v>
      </c>
      <c r="C980" s="2">
        <v>45252</v>
      </c>
      <c r="D980" t="s">
        <v>69</v>
      </c>
      <c r="E980" t="s">
        <v>33</v>
      </c>
      <c r="F980" t="s">
        <v>16</v>
      </c>
      <c r="G980" t="s">
        <v>17</v>
      </c>
      <c r="H980">
        <v>1</v>
      </c>
      <c r="I980">
        <v>0</v>
      </c>
      <c r="J980">
        <v>119</v>
      </c>
      <c r="K980" t="s">
        <v>52</v>
      </c>
      <c r="L980" t="s">
        <v>30</v>
      </c>
      <c r="M980" t="b">
        <v>0</v>
      </c>
    </row>
    <row r="981" spans="1:13" x14ac:dyDescent="0.2">
      <c r="A981">
        <v>980</v>
      </c>
      <c r="B981" t="s">
        <v>56</v>
      </c>
      <c r="C981" s="2">
        <v>45340</v>
      </c>
      <c r="D981" t="s">
        <v>57</v>
      </c>
      <c r="E981" t="s">
        <v>48</v>
      </c>
      <c r="F981" t="s">
        <v>16</v>
      </c>
      <c r="G981" t="s">
        <v>17</v>
      </c>
      <c r="H981">
        <v>5</v>
      </c>
      <c r="I981">
        <v>0.1</v>
      </c>
      <c r="J981">
        <v>382.5</v>
      </c>
      <c r="K981" t="s">
        <v>27</v>
      </c>
      <c r="L981" t="s">
        <v>30</v>
      </c>
      <c r="M981">
        <v>1</v>
      </c>
    </row>
    <row r="982" spans="1:13" x14ac:dyDescent="0.2">
      <c r="A982">
        <v>981</v>
      </c>
      <c r="B982" t="s">
        <v>46</v>
      </c>
      <c r="C982" s="1">
        <v>45342</v>
      </c>
      <c r="D982" t="s">
        <v>47</v>
      </c>
      <c r="E982" t="s">
        <v>48</v>
      </c>
      <c r="F982" t="s">
        <v>26</v>
      </c>
      <c r="G982" t="s">
        <v>22</v>
      </c>
      <c r="H982">
        <v>4</v>
      </c>
      <c r="I982">
        <v>0</v>
      </c>
      <c r="J982">
        <v>199.8</v>
      </c>
      <c r="K982" t="s">
        <v>52</v>
      </c>
      <c r="L982" t="s">
        <v>41</v>
      </c>
      <c r="M982">
        <v>0</v>
      </c>
    </row>
    <row r="983" spans="1:13" x14ac:dyDescent="0.2">
      <c r="A983">
        <v>982</v>
      </c>
      <c r="B983" t="s">
        <v>13</v>
      </c>
      <c r="C983" s="1">
        <v>45625</v>
      </c>
      <c r="D983" t="s">
        <v>14</v>
      </c>
      <c r="E983" t="s">
        <v>15</v>
      </c>
      <c r="F983" t="s">
        <v>16</v>
      </c>
      <c r="G983" t="s">
        <v>17</v>
      </c>
      <c r="H983">
        <v>4</v>
      </c>
      <c r="I983">
        <v>0.05</v>
      </c>
      <c r="J983">
        <v>75.959999999999994</v>
      </c>
      <c r="K983" t="s">
        <v>18</v>
      </c>
      <c r="L983" t="s">
        <v>45</v>
      </c>
      <c r="M983">
        <v>0</v>
      </c>
    </row>
    <row r="984" spans="1:13" x14ac:dyDescent="0.2">
      <c r="A984">
        <v>983</v>
      </c>
      <c r="B984" t="s">
        <v>58</v>
      </c>
      <c r="C984" s="2">
        <v>45467</v>
      </c>
      <c r="D984" t="s">
        <v>59</v>
      </c>
      <c r="E984" t="s">
        <v>15</v>
      </c>
      <c r="F984" t="s">
        <v>34</v>
      </c>
      <c r="G984" t="s">
        <v>35</v>
      </c>
      <c r="H984">
        <v>4</v>
      </c>
      <c r="I984">
        <v>0.05</v>
      </c>
      <c r="J984">
        <v>227.81</v>
      </c>
      <c r="K984" t="s">
        <v>18</v>
      </c>
      <c r="L984" t="s">
        <v>28</v>
      </c>
      <c r="M984">
        <v>1</v>
      </c>
    </row>
    <row r="985" spans="1:13" x14ac:dyDescent="0.2">
      <c r="A985">
        <v>984</v>
      </c>
      <c r="B985" t="s">
        <v>64</v>
      </c>
      <c r="C985" s="1">
        <v>45342</v>
      </c>
      <c r="D985" t="s">
        <v>65</v>
      </c>
      <c r="E985" t="s">
        <v>33</v>
      </c>
      <c r="F985" t="s">
        <v>21</v>
      </c>
      <c r="G985" t="s">
        <v>22</v>
      </c>
      <c r="H985">
        <v>5</v>
      </c>
      <c r="I985">
        <v>0.25</v>
      </c>
      <c r="J985">
        <v>281.06</v>
      </c>
      <c r="K985" t="s">
        <v>27</v>
      </c>
      <c r="L985" t="s">
        <v>23</v>
      </c>
      <c r="M985">
        <v>0</v>
      </c>
    </row>
    <row r="986" spans="1:13" x14ac:dyDescent="0.2">
      <c r="A986">
        <v>985</v>
      </c>
      <c r="B986" t="s">
        <v>19</v>
      </c>
      <c r="C986" s="2">
        <v>45331</v>
      </c>
      <c r="D986" t="s">
        <v>20</v>
      </c>
      <c r="E986" t="s">
        <v>15</v>
      </c>
      <c r="F986" t="s">
        <v>26</v>
      </c>
      <c r="G986" t="s">
        <v>22</v>
      </c>
      <c r="H986">
        <v>2</v>
      </c>
      <c r="J986">
        <v>179.9</v>
      </c>
      <c r="K986" t="s">
        <v>36</v>
      </c>
      <c r="M986" t="b">
        <v>1</v>
      </c>
    </row>
    <row r="987" spans="1:13" x14ac:dyDescent="0.2">
      <c r="A987">
        <v>986</v>
      </c>
      <c r="B987" t="s">
        <v>24</v>
      </c>
      <c r="C987" s="2">
        <v>45259</v>
      </c>
      <c r="D987" t="s">
        <v>87</v>
      </c>
      <c r="E987" t="s">
        <v>39</v>
      </c>
      <c r="F987" t="s">
        <v>34</v>
      </c>
      <c r="G987" t="s">
        <v>35</v>
      </c>
      <c r="H987">
        <v>2</v>
      </c>
      <c r="I987">
        <v>0</v>
      </c>
      <c r="J987">
        <v>89.9</v>
      </c>
      <c r="K987" t="s">
        <v>52</v>
      </c>
      <c r="L987" t="s">
        <v>55</v>
      </c>
      <c r="M987" t="b">
        <v>1</v>
      </c>
    </row>
    <row r="988" spans="1:13" x14ac:dyDescent="0.2">
      <c r="A988">
        <v>987</v>
      </c>
      <c r="B988" t="s">
        <v>83</v>
      </c>
      <c r="C988" s="2">
        <v>45185</v>
      </c>
      <c r="D988" t="s">
        <v>84</v>
      </c>
      <c r="E988" t="s">
        <v>48</v>
      </c>
      <c r="F988" t="s">
        <v>34</v>
      </c>
      <c r="G988" t="s">
        <v>35</v>
      </c>
      <c r="H988">
        <v>4</v>
      </c>
      <c r="I988">
        <v>0.1</v>
      </c>
      <c r="J988">
        <v>179.82</v>
      </c>
      <c r="K988" t="s">
        <v>27</v>
      </c>
      <c r="L988" t="s">
        <v>28</v>
      </c>
      <c r="M988">
        <v>0</v>
      </c>
    </row>
    <row r="989" spans="1:13" x14ac:dyDescent="0.2">
      <c r="A989">
        <v>988</v>
      </c>
      <c r="B989" t="s">
        <v>61</v>
      </c>
      <c r="C989" s="2">
        <v>44941</v>
      </c>
      <c r="D989" t="s">
        <v>62</v>
      </c>
      <c r="E989" t="s">
        <v>33</v>
      </c>
      <c r="F989" t="s">
        <v>53</v>
      </c>
      <c r="G989" t="s">
        <v>54</v>
      </c>
      <c r="H989">
        <v>3</v>
      </c>
      <c r="I989">
        <v>0.1</v>
      </c>
      <c r="J989">
        <v>94.47</v>
      </c>
      <c r="K989" t="s">
        <v>29</v>
      </c>
      <c r="L989" t="s">
        <v>45</v>
      </c>
      <c r="M989">
        <v>0</v>
      </c>
    </row>
    <row r="990" spans="1:13" x14ac:dyDescent="0.2">
      <c r="A990">
        <v>989</v>
      </c>
      <c r="B990" t="s">
        <v>74</v>
      </c>
      <c r="C990" s="2">
        <v>45375</v>
      </c>
      <c r="D990" t="s">
        <v>75</v>
      </c>
      <c r="E990" t="s">
        <v>76</v>
      </c>
      <c r="G990" t="s">
        <v>25</v>
      </c>
      <c r="H990">
        <v>3</v>
      </c>
      <c r="I990">
        <v>0</v>
      </c>
      <c r="J990">
        <v>134.85</v>
      </c>
      <c r="K990" t="s">
        <v>18</v>
      </c>
      <c r="L990" t="s">
        <v>41</v>
      </c>
      <c r="M990" t="s">
        <v>77</v>
      </c>
    </row>
    <row r="991" spans="1:13" x14ac:dyDescent="0.2">
      <c r="A991">
        <v>990</v>
      </c>
      <c r="B991" t="s">
        <v>78</v>
      </c>
      <c r="C991" s="2">
        <v>45455</v>
      </c>
      <c r="D991" t="s">
        <v>79</v>
      </c>
      <c r="E991" t="s">
        <v>48</v>
      </c>
      <c r="F991" t="s">
        <v>40</v>
      </c>
      <c r="G991" t="s">
        <v>17</v>
      </c>
      <c r="H991">
        <v>3</v>
      </c>
      <c r="I991">
        <v>0</v>
      </c>
      <c r="J991">
        <v>119.85</v>
      </c>
      <c r="K991" t="s">
        <v>36</v>
      </c>
      <c r="L991" t="s">
        <v>30</v>
      </c>
      <c r="M991">
        <v>1</v>
      </c>
    </row>
    <row r="992" spans="1:13" x14ac:dyDescent="0.2">
      <c r="A992">
        <v>991</v>
      </c>
      <c r="B992" t="s">
        <v>83</v>
      </c>
      <c r="C992" s="1">
        <v>45262</v>
      </c>
      <c r="D992" t="s">
        <v>84</v>
      </c>
      <c r="E992" t="s">
        <v>48</v>
      </c>
      <c r="F992" t="s">
        <v>66</v>
      </c>
      <c r="G992" t="s">
        <v>67</v>
      </c>
      <c r="H992">
        <v>5</v>
      </c>
      <c r="I992">
        <v>0</v>
      </c>
      <c r="J992">
        <v>249.75</v>
      </c>
      <c r="K992" t="s">
        <v>27</v>
      </c>
      <c r="L992" t="s">
        <v>45</v>
      </c>
      <c r="M992">
        <v>0</v>
      </c>
    </row>
    <row r="993" spans="1:13" x14ac:dyDescent="0.2">
      <c r="A993">
        <v>992</v>
      </c>
      <c r="B993" t="s">
        <v>81</v>
      </c>
      <c r="C993" s="2">
        <v>45316</v>
      </c>
      <c r="D993" t="s">
        <v>82</v>
      </c>
      <c r="E993" t="s">
        <v>15</v>
      </c>
      <c r="F993" t="s">
        <v>53</v>
      </c>
      <c r="G993" t="s">
        <v>54</v>
      </c>
      <c r="H993">
        <v>2</v>
      </c>
      <c r="I993">
        <v>0.2</v>
      </c>
      <c r="J993">
        <v>127.92</v>
      </c>
      <c r="K993" t="s">
        <v>27</v>
      </c>
      <c r="L993" t="s">
        <v>49</v>
      </c>
      <c r="M993" t="s">
        <v>73</v>
      </c>
    </row>
    <row r="994" spans="1:13" x14ac:dyDescent="0.2">
      <c r="A994">
        <v>993</v>
      </c>
      <c r="B994" t="s">
        <v>56</v>
      </c>
      <c r="C994" s="2">
        <v>45067</v>
      </c>
      <c r="D994" t="s">
        <v>57</v>
      </c>
      <c r="E994" t="s">
        <v>48</v>
      </c>
      <c r="F994" t="s">
        <v>21</v>
      </c>
      <c r="G994" t="s">
        <v>22</v>
      </c>
      <c r="H994">
        <v>1</v>
      </c>
      <c r="I994">
        <v>0</v>
      </c>
      <c r="J994">
        <v>85</v>
      </c>
      <c r="K994" t="s">
        <v>80</v>
      </c>
      <c r="L994" t="s">
        <v>55</v>
      </c>
      <c r="M994">
        <v>1</v>
      </c>
    </row>
    <row r="995" spans="1:13" x14ac:dyDescent="0.2">
      <c r="A995">
        <v>994</v>
      </c>
      <c r="B995" t="s">
        <v>61</v>
      </c>
      <c r="C995" s="2">
        <v>45026</v>
      </c>
      <c r="D995" t="s">
        <v>62</v>
      </c>
      <c r="E995" t="s">
        <v>33</v>
      </c>
      <c r="F995" t="s">
        <v>44</v>
      </c>
      <c r="H995">
        <v>2</v>
      </c>
      <c r="I995">
        <v>0.05</v>
      </c>
      <c r="J995">
        <v>66.48</v>
      </c>
      <c r="K995" t="s">
        <v>52</v>
      </c>
      <c r="L995" t="s">
        <v>63</v>
      </c>
      <c r="M995">
        <v>0</v>
      </c>
    </row>
    <row r="996" spans="1:13" x14ac:dyDescent="0.2">
      <c r="A996">
        <v>995</v>
      </c>
      <c r="B996" t="s">
        <v>71</v>
      </c>
      <c r="C996" s="1">
        <v>45476</v>
      </c>
      <c r="D996" t="s">
        <v>72</v>
      </c>
      <c r="E996" t="s">
        <v>33</v>
      </c>
      <c r="F996" t="s">
        <v>34</v>
      </c>
      <c r="G996" t="s">
        <v>35</v>
      </c>
      <c r="H996">
        <v>1</v>
      </c>
      <c r="I996">
        <v>0</v>
      </c>
      <c r="J996">
        <v>59.95</v>
      </c>
      <c r="K996" t="s">
        <v>80</v>
      </c>
      <c r="L996" t="s">
        <v>30</v>
      </c>
      <c r="M996" t="s">
        <v>73</v>
      </c>
    </row>
    <row r="997" spans="1:13" x14ac:dyDescent="0.2">
      <c r="A997">
        <v>996</v>
      </c>
      <c r="B997" t="s">
        <v>85</v>
      </c>
      <c r="C997" s="2">
        <v>45523</v>
      </c>
      <c r="D997" t="s">
        <v>86</v>
      </c>
      <c r="E997" t="s">
        <v>76</v>
      </c>
      <c r="F997" t="s">
        <v>34</v>
      </c>
      <c r="G997" t="s">
        <v>35</v>
      </c>
      <c r="H997">
        <v>3</v>
      </c>
      <c r="I997">
        <v>0</v>
      </c>
      <c r="J997">
        <v>269.85000000000002</v>
      </c>
      <c r="K997" t="s">
        <v>80</v>
      </c>
      <c r="L997" t="s">
        <v>55</v>
      </c>
      <c r="M997" t="s">
        <v>73</v>
      </c>
    </row>
    <row r="998" spans="1:13" x14ac:dyDescent="0.2">
      <c r="A998">
        <v>997</v>
      </c>
      <c r="B998" t="s">
        <v>64</v>
      </c>
      <c r="C998" s="1">
        <v>44973</v>
      </c>
      <c r="D998" t="s">
        <v>65</v>
      </c>
      <c r="E998" t="s">
        <v>33</v>
      </c>
      <c r="F998" t="s">
        <v>26</v>
      </c>
      <c r="G998" t="s">
        <v>22</v>
      </c>
      <c r="H998">
        <v>2</v>
      </c>
      <c r="I998">
        <v>0</v>
      </c>
      <c r="J998">
        <v>149.9</v>
      </c>
      <c r="K998" t="s">
        <v>18</v>
      </c>
      <c r="L998" t="s">
        <v>45</v>
      </c>
      <c r="M998">
        <v>0</v>
      </c>
    </row>
    <row r="999" spans="1:13" x14ac:dyDescent="0.2">
      <c r="A999">
        <v>998</v>
      </c>
      <c r="B999" t="s">
        <v>68</v>
      </c>
      <c r="C999" s="2">
        <v>44991</v>
      </c>
      <c r="D999" t="s">
        <v>69</v>
      </c>
      <c r="E999" t="s">
        <v>33</v>
      </c>
      <c r="F999" t="s">
        <v>34</v>
      </c>
      <c r="G999" t="s">
        <v>35</v>
      </c>
      <c r="H999">
        <v>3</v>
      </c>
      <c r="I999">
        <v>0.2</v>
      </c>
      <c r="J999">
        <v>285.60000000000002</v>
      </c>
      <c r="K999" t="s">
        <v>36</v>
      </c>
      <c r="L999" t="s">
        <v>45</v>
      </c>
      <c r="M999" t="b">
        <v>0</v>
      </c>
    </row>
    <row r="1000" spans="1:13" x14ac:dyDescent="0.2">
      <c r="A1000">
        <v>999</v>
      </c>
      <c r="B1000" t="s">
        <v>37</v>
      </c>
      <c r="C1000" s="2">
        <v>45372</v>
      </c>
      <c r="D1000" t="s">
        <v>38</v>
      </c>
      <c r="E1000" t="s">
        <v>39</v>
      </c>
      <c r="F1000" t="s">
        <v>66</v>
      </c>
      <c r="G1000" t="s">
        <v>67</v>
      </c>
      <c r="H1000">
        <v>1</v>
      </c>
      <c r="I1000">
        <v>0</v>
      </c>
      <c r="J1000">
        <v>64.95</v>
      </c>
      <c r="K1000" t="s">
        <v>27</v>
      </c>
      <c r="L1000" t="s">
        <v>28</v>
      </c>
      <c r="M1000">
        <v>1</v>
      </c>
    </row>
    <row r="1001" spans="1:13" x14ac:dyDescent="0.2">
      <c r="A1001">
        <v>1000</v>
      </c>
      <c r="B1001" t="s">
        <v>24</v>
      </c>
      <c r="C1001" s="1">
        <v>45103</v>
      </c>
      <c r="D1001" t="s">
        <v>87</v>
      </c>
      <c r="E1001" t="s">
        <v>39</v>
      </c>
      <c r="F1001" t="s">
        <v>40</v>
      </c>
      <c r="G1001" t="s">
        <v>17</v>
      </c>
      <c r="H1001">
        <v>2</v>
      </c>
      <c r="I1001">
        <v>0.05</v>
      </c>
      <c r="J1001">
        <v>85.4</v>
      </c>
      <c r="K1001" t="s">
        <v>29</v>
      </c>
      <c r="L1001" t="s">
        <v>41</v>
      </c>
      <c r="M1001" t="b">
        <v>1</v>
      </c>
    </row>
    <row r="1002" spans="1:13" x14ac:dyDescent="0.2">
      <c r="A1002">
        <v>1001</v>
      </c>
      <c r="B1002" t="s">
        <v>74</v>
      </c>
      <c r="C1002" s="1">
        <v>45045</v>
      </c>
      <c r="D1002" t="s">
        <v>75</v>
      </c>
      <c r="E1002" t="s">
        <v>76</v>
      </c>
      <c r="F1002" t="s">
        <v>53</v>
      </c>
      <c r="G1002" t="s">
        <v>54</v>
      </c>
      <c r="H1002">
        <v>5</v>
      </c>
      <c r="I1002">
        <v>0.25</v>
      </c>
      <c r="J1002">
        <v>168.56</v>
      </c>
      <c r="K1002" t="s">
        <v>80</v>
      </c>
      <c r="L1002" t="s">
        <v>55</v>
      </c>
      <c r="M1002" t="s">
        <v>77</v>
      </c>
    </row>
    <row r="1003" spans="1:13" x14ac:dyDescent="0.2">
      <c r="A1003">
        <v>1002</v>
      </c>
      <c r="B1003" t="s">
        <v>58</v>
      </c>
      <c r="C1003" s="2">
        <v>45173</v>
      </c>
      <c r="D1003" t="s">
        <v>59</v>
      </c>
      <c r="E1003" t="s">
        <v>15</v>
      </c>
      <c r="F1003" t="s">
        <v>66</v>
      </c>
      <c r="G1003" t="s">
        <v>67</v>
      </c>
      <c r="H1003">
        <v>5</v>
      </c>
      <c r="I1003">
        <v>0</v>
      </c>
      <c r="J1003">
        <v>299.75</v>
      </c>
      <c r="K1003" t="s">
        <v>18</v>
      </c>
      <c r="L1003" t="s">
        <v>63</v>
      </c>
      <c r="M1003">
        <v>1</v>
      </c>
    </row>
    <row r="1004" spans="1:13" x14ac:dyDescent="0.2">
      <c r="A1004">
        <v>1003</v>
      </c>
      <c r="B1004" t="s">
        <v>56</v>
      </c>
      <c r="C1004" s="2">
        <v>45429</v>
      </c>
      <c r="D1004" t="s">
        <v>57</v>
      </c>
      <c r="E1004" t="s">
        <v>48</v>
      </c>
      <c r="F1004" t="s">
        <v>40</v>
      </c>
      <c r="G1004" t="s">
        <v>17</v>
      </c>
      <c r="H1004">
        <v>2</v>
      </c>
      <c r="I1004">
        <v>0</v>
      </c>
      <c r="J1004">
        <v>170</v>
      </c>
      <c r="K1004" t="s">
        <v>29</v>
      </c>
      <c r="L1004" t="s">
        <v>23</v>
      </c>
      <c r="M1004">
        <v>1</v>
      </c>
    </row>
    <row r="1005" spans="1:13" x14ac:dyDescent="0.2">
      <c r="A1005">
        <v>1004</v>
      </c>
      <c r="B1005" t="s">
        <v>88</v>
      </c>
      <c r="C1005" s="2">
        <v>44957</v>
      </c>
      <c r="D1005" t="s">
        <v>89</v>
      </c>
      <c r="E1005" t="s">
        <v>33</v>
      </c>
      <c r="F1005" t="s">
        <v>16</v>
      </c>
      <c r="G1005" t="s">
        <v>17</v>
      </c>
      <c r="H1005">
        <v>4</v>
      </c>
      <c r="I1005">
        <v>0</v>
      </c>
      <c r="J1005">
        <v>792</v>
      </c>
      <c r="K1005" t="s">
        <v>52</v>
      </c>
      <c r="L1005" t="s">
        <v>30</v>
      </c>
      <c r="M1005" t="b">
        <v>0</v>
      </c>
    </row>
    <row r="1006" spans="1:13" x14ac:dyDescent="0.2">
      <c r="A1006">
        <v>1005</v>
      </c>
      <c r="B1006" t="s">
        <v>42</v>
      </c>
      <c r="C1006" s="1">
        <v>45478</v>
      </c>
      <c r="D1006" t="s">
        <v>43</v>
      </c>
      <c r="E1006" t="s">
        <v>15</v>
      </c>
      <c r="F1006" t="s">
        <v>16</v>
      </c>
      <c r="G1006" t="s">
        <v>17</v>
      </c>
      <c r="H1006">
        <v>2</v>
      </c>
      <c r="I1006">
        <v>0.25</v>
      </c>
      <c r="J1006">
        <v>193.5</v>
      </c>
      <c r="K1006" t="s">
        <v>29</v>
      </c>
      <c r="L1006" t="s">
        <v>55</v>
      </c>
      <c r="M1006" t="b">
        <v>1</v>
      </c>
    </row>
    <row r="1007" spans="1:13" x14ac:dyDescent="0.2">
      <c r="A1007">
        <v>1006</v>
      </c>
      <c r="B1007" t="s">
        <v>50</v>
      </c>
      <c r="C1007" s="1">
        <v>45078</v>
      </c>
      <c r="D1007" t="s">
        <v>51</v>
      </c>
      <c r="E1007" t="s">
        <v>15</v>
      </c>
      <c r="F1007" t="s">
        <v>53</v>
      </c>
      <c r="G1007" t="s">
        <v>54</v>
      </c>
      <c r="H1007">
        <v>3</v>
      </c>
      <c r="I1007">
        <v>0</v>
      </c>
      <c r="J1007">
        <v>209.85</v>
      </c>
      <c r="K1007" t="s">
        <v>80</v>
      </c>
      <c r="L1007" t="s">
        <v>55</v>
      </c>
      <c r="M1007">
        <v>0</v>
      </c>
    </row>
    <row r="1008" spans="1:13" x14ac:dyDescent="0.2">
      <c r="A1008">
        <v>1007</v>
      </c>
      <c r="B1008" t="s">
        <v>88</v>
      </c>
      <c r="C1008" s="2">
        <v>45372</v>
      </c>
      <c r="D1008" t="s">
        <v>89</v>
      </c>
      <c r="E1008" t="s">
        <v>33</v>
      </c>
      <c r="G1008" t="s">
        <v>25</v>
      </c>
      <c r="H1008">
        <v>4</v>
      </c>
      <c r="I1008">
        <v>0.25</v>
      </c>
      <c r="J1008">
        <v>594</v>
      </c>
      <c r="K1008" t="s">
        <v>80</v>
      </c>
      <c r="L1008" t="s">
        <v>23</v>
      </c>
      <c r="M1008" t="b">
        <v>0</v>
      </c>
    </row>
    <row r="1009" spans="1:13" x14ac:dyDescent="0.2">
      <c r="A1009">
        <v>1008</v>
      </c>
      <c r="B1009" t="s">
        <v>78</v>
      </c>
      <c r="C1009" s="2">
        <v>45052</v>
      </c>
      <c r="D1009" t="s">
        <v>25</v>
      </c>
      <c r="E1009" t="s">
        <v>25</v>
      </c>
      <c r="F1009" t="s">
        <v>53</v>
      </c>
      <c r="G1009" t="s">
        <v>54</v>
      </c>
      <c r="H1009">
        <v>2</v>
      </c>
      <c r="I1009">
        <v>0.2</v>
      </c>
      <c r="J1009">
        <v>63.92</v>
      </c>
      <c r="K1009" t="s">
        <v>80</v>
      </c>
      <c r="L1009" t="s">
        <v>28</v>
      </c>
      <c r="M1009" t="s">
        <v>25</v>
      </c>
    </row>
    <row r="1010" spans="1:13" x14ac:dyDescent="0.2">
      <c r="A1010">
        <v>1009</v>
      </c>
      <c r="B1010" t="s">
        <v>58</v>
      </c>
      <c r="C1010" s="2">
        <v>45343</v>
      </c>
      <c r="D1010" t="s">
        <v>59</v>
      </c>
      <c r="E1010" t="s">
        <v>15</v>
      </c>
      <c r="F1010" t="s">
        <v>21</v>
      </c>
      <c r="G1010" t="s">
        <v>22</v>
      </c>
      <c r="H1010">
        <v>5</v>
      </c>
      <c r="I1010">
        <v>0</v>
      </c>
      <c r="J1010">
        <v>299.75</v>
      </c>
      <c r="K1010" t="s">
        <v>27</v>
      </c>
      <c r="L1010" t="s">
        <v>41</v>
      </c>
      <c r="M1010">
        <v>1</v>
      </c>
    </row>
    <row r="1011" spans="1:13" x14ac:dyDescent="0.2">
      <c r="A1011">
        <v>1010</v>
      </c>
      <c r="B1011" t="s">
        <v>61</v>
      </c>
      <c r="C1011" s="2">
        <v>45052</v>
      </c>
      <c r="D1011" t="s">
        <v>62</v>
      </c>
      <c r="E1011" t="s">
        <v>33</v>
      </c>
      <c r="F1011" t="s">
        <v>66</v>
      </c>
      <c r="G1011" t="s">
        <v>67</v>
      </c>
      <c r="H1011">
        <v>1</v>
      </c>
      <c r="I1011">
        <v>0</v>
      </c>
      <c r="J1011">
        <v>34.99</v>
      </c>
      <c r="K1011" t="s">
        <v>27</v>
      </c>
      <c r="L1011" t="s">
        <v>30</v>
      </c>
      <c r="M1011">
        <v>0</v>
      </c>
    </row>
    <row r="1012" spans="1:13" x14ac:dyDescent="0.2">
      <c r="A1012">
        <v>1011</v>
      </c>
      <c r="B1012" t="s">
        <v>56</v>
      </c>
      <c r="C1012" s="2">
        <v>45125</v>
      </c>
      <c r="D1012" t="s">
        <v>57</v>
      </c>
      <c r="E1012" t="s">
        <v>48</v>
      </c>
      <c r="F1012" t="s">
        <v>66</v>
      </c>
      <c r="G1012" t="s">
        <v>67</v>
      </c>
      <c r="H1012">
        <v>4</v>
      </c>
      <c r="I1012">
        <v>0.25</v>
      </c>
      <c r="J1012">
        <v>255</v>
      </c>
      <c r="K1012" t="s">
        <v>80</v>
      </c>
      <c r="L1012" t="s">
        <v>63</v>
      </c>
      <c r="M1012">
        <v>1</v>
      </c>
    </row>
    <row r="1013" spans="1:13" x14ac:dyDescent="0.2">
      <c r="A1013">
        <v>1012</v>
      </c>
      <c r="B1013" t="s">
        <v>31</v>
      </c>
      <c r="C1013" s="2">
        <v>45089</v>
      </c>
      <c r="D1013" t="s">
        <v>32</v>
      </c>
      <c r="E1013" t="s">
        <v>33</v>
      </c>
      <c r="F1013" t="s">
        <v>53</v>
      </c>
      <c r="G1013" t="s">
        <v>54</v>
      </c>
      <c r="H1013">
        <v>5</v>
      </c>
      <c r="I1013">
        <v>0.1</v>
      </c>
      <c r="J1013">
        <v>359.78</v>
      </c>
      <c r="K1013" t="s">
        <v>52</v>
      </c>
      <c r="L1013" t="s">
        <v>28</v>
      </c>
      <c r="M1013" t="b">
        <v>0</v>
      </c>
    </row>
    <row r="1014" spans="1:13" x14ac:dyDescent="0.2">
      <c r="A1014">
        <v>1013</v>
      </c>
      <c r="B1014" t="s">
        <v>42</v>
      </c>
      <c r="C1014" s="2">
        <v>45573</v>
      </c>
      <c r="D1014" t="s">
        <v>43</v>
      </c>
      <c r="E1014" t="s">
        <v>15</v>
      </c>
      <c r="F1014" t="s">
        <v>53</v>
      </c>
      <c r="G1014" t="s">
        <v>54</v>
      </c>
      <c r="H1014">
        <v>4</v>
      </c>
      <c r="I1014">
        <v>0</v>
      </c>
      <c r="J1014">
        <v>516</v>
      </c>
      <c r="K1014" t="s">
        <v>52</v>
      </c>
      <c r="L1014" t="s">
        <v>28</v>
      </c>
      <c r="M1014" t="b">
        <v>1</v>
      </c>
    </row>
    <row r="1015" spans="1:13" x14ac:dyDescent="0.2">
      <c r="A1015">
        <v>1014</v>
      </c>
      <c r="B1015" t="s">
        <v>88</v>
      </c>
      <c r="C1015" s="1">
        <v>44950</v>
      </c>
      <c r="D1015" t="s">
        <v>89</v>
      </c>
      <c r="E1015" t="s">
        <v>33</v>
      </c>
      <c r="F1015" t="s">
        <v>40</v>
      </c>
      <c r="G1015" t="s">
        <v>17</v>
      </c>
      <c r="H1015">
        <v>5</v>
      </c>
      <c r="I1015">
        <v>0</v>
      </c>
      <c r="J1015">
        <v>990</v>
      </c>
      <c r="K1015" t="s">
        <v>18</v>
      </c>
      <c r="L1015" t="s">
        <v>30</v>
      </c>
      <c r="M1015" t="b">
        <v>0</v>
      </c>
    </row>
    <row r="1016" spans="1:13" x14ac:dyDescent="0.2">
      <c r="A1016">
        <v>1015</v>
      </c>
      <c r="B1016" t="s">
        <v>19</v>
      </c>
      <c r="C1016" s="1">
        <v>45641</v>
      </c>
      <c r="D1016" t="s">
        <v>20</v>
      </c>
      <c r="E1016" t="s">
        <v>15</v>
      </c>
      <c r="F1016" t="s">
        <v>26</v>
      </c>
      <c r="G1016" t="s">
        <v>22</v>
      </c>
      <c r="H1016">
        <v>1</v>
      </c>
      <c r="I1016">
        <v>0.15</v>
      </c>
      <c r="J1016">
        <v>76.459999999999994</v>
      </c>
      <c r="K1016" t="s">
        <v>80</v>
      </c>
      <c r="L1016" t="s">
        <v>63</v>
      </c>
      <c r="M1016" t="b">
        <v>1</v>
      </c>
    </row>
    <row r="1017" spans="1:13" x14ac:dyDescent="0.2">
      <c r="A1017">
        <v>1016</v>
      </c>
      <c r="B1017" t="s">
        <v>58</v>
      </c>
      <c r="C1017" s="2">
        <v>45136</v>
      </c>
      <c r="D1017" t="s">
        <v>59</v>
      </c>
      <c r="E1017" t="s">
        <v>15</v>
      </c>
      <c r="F1017" t="s">
        <v>40</v>
      </c>
      <c r="G1017" t="s">
        <v>17</v>
      </c>
      <c r="H1017">
        <v>3</v>
      </c>
      <c r="I1017">
        <v>0</v>
      </c>
      <c r="J1017">
        <v>179.85</v>
      </c>
      <c r="K1017" t="s">
        <v>18</v>
      </c>
      <c r="L1017" t="s">
        <v>30</v>
      </c>
      <c r="M1017">
        <v>1</v>
      </c>
    </row>
    <row r="1018" spans="1:13" x14ac:dyDescent="0.2">
      <c r="A1018">
        <v>1017</v>
      </c>
      <c r="B1018" t="s">
        <v>61</v>
      </c>
      <c r="C1018" s="2">
        <v>45541</v>
      </c>
      <c r="D1018" t="s">
        <v>62</v>
      </c>
      <c r="E1018" t="s">
        <v>33</v>
      </c>
      <c r="F1018" t="s">
        <v>34</v>
      </c>
      <c r="G1018" t="s">
        <v>35</v>
      </c>
      <c r="H1018">
        <v>1</v>
      </c>
      <c r="I1018">
        <v>0</v>
      </c>
      <c r="J1018">
        <v>34.99</v>
      </c>
      <c r="K1018" t="s">
        <v>36</v>
      </c>
      <c r="L1018" t="s">
        <v>55</v>
      </c>
      <c r="M1018">
        <v>0</v>
      </c>
    </row>
    <row r="1019" spans="1:13" x14ac:dyDescent="0.2">
      <c r="A1019">
        <v>1018</v>
      </c>
      <c r="B1019" t="s">
        <v>83</v>
      </c>
      <c r="C1019" s="2">
        <v>45257</v>
      </c>
      <c r="D1019" t="s">
        <v>84</v>
      </c>
      <c r="E1019" t="s">
        <v>48</v>
      </c>
      <c r="G1019" t="s">
        <v>25</v>
      </c>
      <c r="H1019">
        <v>2</v>
      </c>
      <c r="I1019">
        <v>0</v>
      </c>
      <c r="J1019">
        <v>99.9</v>
      </c>
      <c r="K1019" t="s">
        <v>36</v>
      </c>
      <c r="L1019" t="s">
        <v>28</v>
      </c>
      <c r="M1019">
        <v>0</v>
      </c>
    </row>
    <row r="1020" spans="1:13" x14ac:dyDescent="0.2">
      <c r="A1020">
        <v>1019</v>
      </c>
      <c r="B1020" t="s">
        <v>74</v>
      </c>
      <c r="C1020" s="2">
        <v>45464</v>
      </c>
      <c r="D1020" t="s">
        <v>75</v>
      </c>
      <c r="E1020" t="s">
        <v>76</v>
      </c>
      <c r="G1020" t="s">
        <v>25</v>
      </c>
      <c r="H1020">
        <v>1</v>
      </c>
      <c r="I1020">
        <v>0.25</v>
      </c>
      <c r="J1020">
        <v>33.71</v>
      </c>
      <c r="K1020" t="s">
        <v>80</v>
      </c>
      <c r="L1020" t="s">
        <v>28</v>
      </c>
      <c r="M1020" t="s">
        <v>77</v>
      </c>
    </row>
    <row r="1021" spans="1:13" x14ac:dyDescent="0.2">
      <c r="A1021">
        <v>1020</v>
      </c>
      <c r="B1021" t="s">
        <v>71</v>
      </c>
      <c r="C1021" s="2">
        <v>45313</v>
      </c>
      <c r="D1021" t="s">
        <v>72</v>
      </c>
      <c r="E1021" t="s">
        <v>33</v>
      </c>
      <c r="F1021" t="s">
        <v>66</v>
      </c>
      <c r="G1021" t="s">
        <v>67</v>
      </c>
      <c r="H1021">
        <v>5</v>
      </c>
      <c r="I1021">
        <v>0</v>
      </c>
      <c r="J1021">
        <v>299.75</v>
      </c>
      <c r="K1021" t="s">
        <v>36</v>
      </c>
      <c r="L1021" t="s">
        <v>63</v>
      </c>
      <c r="M1021" t="s">
        <v>73</v>
      </c>
    </row>
    <row r="1022" spans="1:13" x14ac:dyDescent="0.2">
      <c r="A1022">
        <v>1021</v>
      </c>
      <c r="B1022" t="s">
        <v>71</v>
      </c>
      <c r="C1022" s="2">
        <v>45281</v>
      </c>
      <c r="D1022" t="s">
        <v>72</v>
      </c>
      <c r="E1022" t="s">
        <v>33</v>
      </c>
      <c r="F1022" t="s">
        <v>26</v>
      </c>
      <c r="G1022" t="s">
        <v>22</v>
      </c>
      <c r="H1022">
        <v>2</v>
      </c>
      <c r="I1022">
        <v>0.2</v>
      </c>
      <c r="J1022">
        <v>95.92</v>
      </c>
      <c r="K1022" t="s">
        <v>80</v>
      </c>
      <c r="L1022" t="s">
        <v>49</v>
      </c>
      <c r="M1022" t="s">
        <v>73</v>
      </c>
    </row>
    <row r="1023" spans="1:13" x14ac:dyDescent="0.2">
      <c r="A1023">
        <v>1022</v>
      </c>
      <c r="B1023" t="s">
        <v>56</v>
      </c>
      <c r="C1023" s="2">
        <v>45469</v>
      </c>
      <c r="D1023" t="s">
        <v>57</v>
      </c>
      <c r="E1023" t="s">
        <v>48</v>
      </c>
      <c r="F1023" t="s">
        <v>16</v>
      </c>
      <c r="G1023" t="s">
        <v>17</v>
      </c>
      <c r="H1023">
        <v>3</v>
      </c>
      <c r="I1023">
        <v>0.05</v>
      </c>
      <c r="J1023">
        <v>242.25</v>
      </c>
      <c r="K1023" t="s">
        <v>29</v>
      </c>
      <c r="L1023" t="s">
        <v>63</v>
      </c>
      <c r="M1023">
        <v>1</v>
      </c>
    </row>
    <row r="1024" spans="1:13" x14ac:dyDescent="0.2">
      <c r="A1024">
        <v>1023</v>
      </c>
      <c r="B1024" t="s">
        <v>71</v>
      </c>
      <c r="C1024" s="2">
        <v>45389</v>
      </c>
      <c r="D1024" t="s">
        <v>72</v>
      </c>
      <c r="E1024" t="s">
        <v>33</v>
      </c>
      <c r="F1024" t="s">
        <v>34</v>
      </c>
      <c r="G1024" t="s">
        <v>35</v>
      </c>
      <c r="H1024">
        <v>5</v>
      </c>
      <c r="I1024">
        <v>0</v>
      </c>
      <c r="J1024">
        <v>299.75</v>
      </c>
      <c r="K1024" t="s">
        <v>18</v>
      </c>
      <c r="L1024" t="s">
        <v>55</v>
      </c>
      <c r="M1024" t="s">
        <v>73</v>
      </c>
    </row>
    <row r="1025" spans="1:13" x14ac:dyDescent="0.2">
      <c r="A1025">
        <v>1024</v>
      </c>
      <c r="B1025" t="s">
        <v>58</v>
      </c>
      <c r="C1025" s="2">
        <v>45431</v>
      </c>
      <c r="D1025" t="s">
        <v>59</v>
      </c>
      <c r="E1025" t="s">
        <v>15</v>
      </c>
      <c r="F1025" t="s">
        <v>21</v>
      </c>
      <c r="G1025" t="s">
        <v>22</v>
      </c>
      <c r="H1025">
        <v>3</v>
      </c>
      <c r="I1025">
        <v>0</v>
      </c>
      <c r="J1025">
        <v>179.85</v>
      </c>
      <c r="K1025" t="s">
        <v>18</v>
      </c>
      <c r="L1025" t="s">
        <v>49</v>
      </c>
      <c r="M1025">
        <v>1</v>
      </c>
    </row>
    <row r="1026" spans="1:13" x14ac:dyDescent="0.2">
      <c r="A1026">
        <v>1025</v>
      </c>
      <c r="B1026" t="s">
        <v>37</v>
      </c>
      <c r="C1026" s="1">
        <v>45334</v>
      </c>
      <c r="D1026" t="s">
        <v>38</v>
      </c>
      <c r="E1026" t="s">
        <v>39</v>
      </c>
      <c r="F1026" t="s">
        <v>26</v>
      </c>
      <c r="G1026" t="s">
        <v>22</v>
      </c>
      <c r="H1026">
        <v>1</v>
      </c>
      <c r="I1026">
        <v>0.05</v>
      </c>
      <c r="J1026">
        <v>61.7</v>
      </c>
      <c r="K1026" t="s">
        <v>29</v>
      </c>
      <c r="L1026" t="s">
        <v>49</v>
      </c>
      <c r="M1026">
        <v>1</v>
      </c>
    </row>
    <row r="1027" spans="1:13" x14ac:dyDescent="0.2">
      <c r="A1027">
        <v>1026</v>
      </c>
      <c r="B1027" t="s">
        <v>37</v>
      </c>
      <c r="C1027" s="1">
        <v>45367</v>
      </c>
      <c r="D1027" t="s">
        <v>38</v>
      </c>
      <c r="E1027" t="s">
        <v>39</v>
      </c>
      <c r="F1027" t="s">
        <v>66</v>
      </c>
      <c r="G1027" t="s">
        <v>67</v>
      </c>
      <c r="H1027">
        <v>3</v>
      </c>
      <c r="I1027">
        <v>0.15</v>
      </c>
      <c r="J1027">
        <v>165.62</v>
      </c>
      <c r="K1027" t="s">
        <v>27</v>
      </c>
      <c r="L1027" t="s">
        <v>49</v>
      </c>
      <c r="M1027">
        <v>1</v>
      </c>
    </row>
    <row r="1028" spans="1:13" x14ac:dyDescent="0.2">
      <c r="A1028">
        <v>1027</v>
      </c>
      <c r="B1028" t="s">
        <v>78</v>
      </c>
      <c r="C1028" s="2">
        <v>45174</v>
      </c>
      <c r="D1028" t="s">
        <v>79</v>
      </c>
      <c r="E1028" t="s">
        <v>48</v>
      </c>
      <c r="F1028" t="s">
        <v>34</v>
      </c>
      <c r="G1028" t="s">
        <v>35</v>
      </c>
      <c r="H1028">
        <v>3</v>
      </c>
      <c r="I1028">
        <v>0.1</v>
      </c>
      <c r="J1028">
        <v>107.86</v>
      </c>
      <c r="K1028" t="s">
        <v>27</v>
      </c>
      <c r="L1028" t="s">
        <v>23</v>
      </c>
      <c r="M1028">
        <v>1</v>
      </c>
    </row>
    <row r="1029" spans="1:13" x14ac:dyDescent="0.2">
      <c r="A1029">
        <v>1028</v>
      </c>
      <c r="B1029" t="s">
        <v>85</v>
      </c>
      <c r="C1029" s="1">
        <v>45310</v>
      </c>
      <c r="D1029" t="s">
        <v>86</v>
      </c>
      <c r="E1029" t="s">
        <v>76</v>
      </c>
      <c r="F1029" t="s">
        <v>66</v>
      </c>
      <c r="G1029" t="s">
        <v>67</v>
      </c>
      <c r="H1029">
        <v>1</v>
      </c>
      <c r="I1029">
        <v>0.05</v>
      </c>
      <c r="J1029">
        <v>85.45</v>
      </c>
      <c r="K1029" t="s">
        <v>36</v>
      </c>
      <c r="L1029" t="s">
        <v>63</v>
      </c>
      <c r="M1029" t="s">
        <v>73</v>
      </c>
    </row>
    <row r="1030" spans="1:13" x14ac:dyDescent="0.2">
      <c r="A1030">
        <v>1029</v>
      </c>
      <c r="B1030" t="s">
        <v>81</v>
      </c>
      <c r="C1030" s="2">
        <v>45514</v>
      </c>
      <c r="D1030" t="s">
        <v>82</v>
      </c>
      <c r="E1030" t="s">
        <v>15</v>
      </c>
      <c r="F1030" t="s">
        <v>40</v>
      </c>
      <c r="G1030" t="s">
        <v>17</v>
      </c>
      <c r="H1030">
        <v>5</v>
      </c>
      <c r="I1030">
        <v>0</v>
      </c>
      <c r="J1030">
        <v>399.75</v>
      </c>
      <c r="K1030" t="s">
        <v>52</v>
      </c>
      <c r="L1030" t="s">
        <v>30</v>
      </c>
      <c r="M1030" t="s">
        <v>73</v>
      </c>
    </row>
    <row r="1031" spans="1:13" x14ac:dyDescent="0.2">
      <c r="A1031">
        <v>1030</v>
      </c>
      <c r="B1031" t="s">
        <v>71</v>
      </c>
      <c r="C1031" s="1">
        <v>45584</v>
      </c>
      <c r="D1031" t="s">
        <v>72</v>
      </c>
      <c r="E1031" t="s">
        <v>33</v>
      </c>
      <c r="F1031" t="s">
        <v>21</v>
      </c>
      <c r="G1031" t="s">
        <v>22</v>
      </c>
      <c r="H1031">
        <v>5</v>
      </c>
      <c r="I1031">
        <v>0.2</v>
      </c>
      <c r="J1031">
        <v>239.8</v>
      </c>
      <c r="K1031" t="s">
        <v>80</v>
      </c>
      <c r="L1031" t="s">
        <v>30</v>
      </c>
      <c r="M1031" t="s">
        <v>73</v>
      </c>
    </row>
    <row r="1032" spans="1:13" x14ac:dyDescent="0.2">
      <c r="A1032">
        <v>1031</v>
      </c>
      <c r="B1032" t="s">
        <v>81</v>
      </c>
      <c r="C1032" s="2">
        <v>45505</v>
      </c>
      <c r="D1032" t="s">
        <v>82</v>
      </c>
      <c r="E1032" t="s">
        <v>15</v>
      </c>
      <c r="F1032" t="s">
        <v>40</v>
      </c>
      <c r="G1032" t="s">
        <v>17</v>
      </c>
      <c r="H1032">
        <v>4</v>
      </c>
      <c r="I1032">
        <v>0.05</v>
      </c>
      <c r="J1032">
        <v>303.81</v>
      </c>
      <c r="K1032" t="s">
        <v>52</v>
      </c>
      <c r="L1032" t="s">
        <v>45</v>
      </c>
      <c r="M1032" t="s">
        <v>73</v>
      </c>
    </row>
    <row r="1033" spans="1:13" x14ac:dyDescent="0.2">
      <c r="A1033">
        <v>1032</v>
      </c>
      <c r="B1033" t="s">
        <v>31</v>
      </c>
      <c r="C1033" s="1">
        <v>45340</v>
      </c>
      <c r="D1033" t="s">
        <v>32</v>
      </c>
      <c r="E1033" t="s">
        <v>33</v>
      </c>
      <c r="F1033" t="s">
        <v>16</v>
      </c>
      <c r="G1033" t="s">
        <v>17</v>
      </c>
      <c r="H1033">
        <v>2</v>
      </c>
      <c r="I1033">
        <v>0.1</v>
      </c>
      <c r="J1033">
        <v>143.91</v>
      </c>
      <c r="K1033" t="s">
        <v>29</v>
      </c>
      <c r="L1033" t="s">
        <v>45</v>
      </c>
      <c r="M1033" t="b">
        <v>0</v>
      </c>
    </row>
    <row r="1034" spans="1:13" x14ac:dyDescent="0.2">
      <c r="A1034">
        <v>1033</v>
      </c>
      <c r="B1034" t="s">
        <v>13</v>
      </c>
      <c r="C1034" s="1">
        <v>45502</v>
      </c>
      <c r="D1034" t="s">
        <v>14</v>
      </c>
      <c r="E1034" t="s">
        <v>15</v>
      </c>
      <c r="F1034" t="s">
        <v>21</v>
      </c>
      <c r="G1034" t="s">
        <v>22</v>
      </c>
      <c r="H1034">
        <v>4</v>
      </c>
      <c r="I1034">
        <v>0</v>
      </c>
      <c r="J1034">
        <v>79.959999999999994</v>
      </c>
      <c r="K1034" t="s">
        <v>52</v>
      </c>
      <c r="L1034" t="s">
        <v>63</v>
      </c>
      <c r="M1034">
        <v>0</v>
      </c>
    </row>
    <row r="1035" spans="1:13" x14ac:dyDescent="0.2">
      <c r="A1035">
        <v>1034</v>
      </c>
      <c r="B1035" t="s">
        <v>50</v>
      </c>
      <c r="C1035" s="2">
        <v>45047</v>
      </c>
      <c r="D1035" t="s">
        <v>51</v>
      </c>
      <c r="E1035" t="s">
        <v>15</v>
      </c>
      <c r="F1035" t="s">
        <v>26</v>
      </c>
      <c r="G1035" t="s">
        <v>22</v>
      </c>
      <c r="H1035">
        <v>1</v>
      </c>
      <c r="J1035">
        <v>69.95</v>
      </c>
      <c r="K1035" t="s">
        <v>36</v>
      </c>
      <c r="L1035" t="s">
        <v>28</v>
      </c>
      <c r="M1035">
        <v>0</v>
      </c>
    </row>
    <row r="1036" spans="1:13" x14ac:dyDescent="0.2">
      <c r="A1036">
        <v>1035</v>
      </c>
      <c r="B1036" t="s">
        <v>42</v>
      </c>
      <c r="C1036" s="1">
        <v>45343</v>
      </c>
      <c r="D1036" t="s">
        <v>43</v>
      </c>
      <c r="E1036" t="s">
        <v>15</v>
      </c>
      <c r="F1036" t="s">
        <v>53</v>
      </c>
      <c r="G1036" t="s">
        <v>54</v>
      </c>
      <c r="H1036">
        <v>5</v>
      </c>
      <c r="I1036">
        <v>0.2</v>
      </c>
      <c r="J1036">
        <v>516</v>
      </c>
      <c r="K1036" t="s">
        <v>52</v>
      </c>
      <c r="L1036" t="s">
        <v>28</v>
      </c>
      <c r="M1036" t="b">
        <v>1</v>
      </c>
    </row>
    <row r="1037" spans="1:13" x14ac:dyDescent="0.2">
      <c r="A1037">
        <v>1036</v>
      </c>
      <c r="B1037" t="s">
        <v>78</v>
      </c>
      <c r="C1037" s="2">
        <v>45123</v>
      </c>
      <c r="D1037" t="s">
        <v>79</v>
      </c>
      <c r="E1037" t="s">
        <v>48</v>
      </c>
      <c r="F1037" t="s">
        <v>34</v>
      </c>
      <c r="G1037" t="s">
        <v>35</v>
      </c>
      <c r="H1037">
        <v>3</v>
      </c>
      <c r="I1037">
        <v>0.15</v>
      </c>
      <c r="J1037">
        <v>101.87</v>
      </c>
      <c r="K1037" t="s">
        <v>52</v>
      </c>
      <c r="L1037" t="s">
        <v>55</v>
      </c>
      <c r="M1037">
        <v>1</v>
      </c>
    </row>
    <row r="1038" spans="1:13" x14ac:dyDescent="0.2">
      <c r="A1038">
        <v>1037</v>
      </c>
      <c r="B1038" t="s">
        <v>31</v>
      </c>
      <c r="C1038" s="1">
        <v>45610</v>
      </c>
      <c r="D1038" t="s">
        <v>32</v>
      </c>
      <c r="E1038" t="s">
        <v>33</v>
      </c>
      <c r="F1038" t="s">
        <v>26</v>
      </c>
      <c r="G1038" t="s">
        <v>22</v>
      </c>
      <c r="H1038">
        <v>4</v>
      </c>
      <c r="I1038">
        <v>0.05</v>
      </c>
      <c r="J1038">
        <v>303.81</v>
      </c>
      <c r="K1038" t="s">
        <v>27</v>
      </c>
      <c r="L1038" t="s">
        <v>23</v>
      </c>
      <c r="M1038" t="b">
        <v>0</v>
      </c>
    </row>
    <row r="1039" spans="1:13" x14ac:dyDescent="0.2">
      <c r="A1039">
        <v>1038</v>
      </c>
      <c r="B1039" t="s">
        <v>42</v>
      </c>
      <c r="C1039" s="2">
        <v>44994</v>
      </c>
      <c r="D1039" t="s">
        <v>43</v>
      </c>
      <c r="E1039" t="s">
        <v>15</v>
      </c>
      <c r="F1039" t="s">
        <v>16</v>
      </c>
      <c r="G1039" t="s">
        <v>17</v>
      </c>
      <c r="H1039">
        <v>2</v>
      </c>
      <c r="I1039">
        <v>0.15</v>
      </c>
      <c r="J1039">
        <v>219.3</v>
      </c>
      <c r="K1039" t="s">
        <v>27</v>
      </c>
      <c r="L1039" t="s">
        <v>23</v>
      </c>
      <c r="M1039" t="b">
        <v>1</v>
      </c>
    </row>
    <row r="1040" spans="1:13" x14ac:dyDescent="0.2">
      <c r="A1040">
        <v>1039</v>
      </c>
      <c r="B1040" t="s">
        <v>78</v>
      </c>
      <c r="C1040" s="2">
        <v>45074</v>
      </c>
      <c r="D1040" t="s">
        <v>79</v>
      </c>
      <c r="E1040" t="s">
        <v>48</v>
      </c>
      <c r="F1040" t="s">
        <v>66</v>
      </c>
      <c r="G1040" t="s">
        <v>67</v>
      </c>
      <c r="H1040">
        <v>2</v>
      </c>
      <c r="I1040" t="s">
        <v>60</v>
      </c>
      <c r="J1040">
        <v>79.900000000000006</v>
      </c>
      <c r="K1040" t="s">
        <v>36</v>
      </c>
      <c r="L1040" t="s">
        <v>28</v>
      </c>
      <c r="M1040">
        <v>1</v>
      </c>
    </row>
    <row r="1041" spans="1:13" x14ac:dyDescent="0.2">
      <c r="A1041">
        <v>1040</v>
      </c>
      <c r="B1041" t="s">
        <v>61</v>
      </c>
      <c r="C1041" s="2">
        <v>45067</v>
      </c>
      <c r="D1041" t="s">
        <v>62</v>
      </c>
      <c r="E1041" t="s">
        <v>33</v>
      </c>
      <c r="G1041" t="s">
        <v>25</v>
      </c>
      <c r="H1041">
        <v>4</v>
      </c>
      <c r="I1041">
        <v>0.2</v>
      </c>
      <c r="J1041">
        <v>111.97</v>
      </c>
      <c r="K1041" t="s">
        <v>80</v>
      </c>
      <c r="L1041" t="s">
        <v>45</v>
      </c>
      <c r="M1041">
        <v>0</v>
      </c>
    </row>
    <row r="1042" spans="1:13" x14ac:dyDescent="0.2">
      <c r="A1042">
        <v>1041</v>
      </c>
      <c r="B1042" t="s">
        <v>81</v>
      </c>
      <c r="C1042" s="1">
        <v>45333</v>
      </c>
      <c r="D1042" t="s">
        <v>82</v>
      </c>
      <c r="E1042" t="s">
        <v>15</v>
      </c>
      <c r="F1042" t="s">
        <v>66</v>
      </c>
      <c r="G1042" t="s">
        <v>67</v>
      </c>
      <c r="H1042">
        <v>5</v>
      </c>
      <c r="I1042">
        <v>0</v>
      </c>
      <c r="J1042">
        <v>399.75</v>
      </c>
      <c r="K1042" t="s">
        <v>27</v>
      </c>
      <c r="L1042" t="s">
        <v>30</v>
      </c>
      <c r="M1042" t="s">
        <v>73</v>
      </c>
    </row>
    <row r="1043" spans="1:13" x14ac:dyDescent="0.2">
      <c r="A1043">
        <v>1042</v>
      </c>
      <c r="B1043" t="s">
        <v>31</v>
      </c>
      <c r="C1043" s="1">
        <v>45405</v>
      </c>
      <c r="D1043" t="s">
        <v>32</v>
      </c>
      <c r="E1043" t="s">
        <v>33</v>
      </c>
      <c r="F1043" t="s">
        <v>40</v>
      </c>
      <c r="G1043" t="s">
        <v>17</v>
      </c>
      <c r="H1043">
        <v>2</v>
      </c>
      <c r="I1043">
        <v>0.15</v>
      </c>
      <c r="J1043">
        <v>135.91999999999999</v>
      </c>
      <c r="K1043" t="s">
        <v>27</v>
      </c>
      <c r="L1043" t="s">
        <v>28</v>
      </c>
      <c r="M1043" t="b">
        <v>0</v>
      </c>
    </row>
    <row r="1044" spans="1:13" x14ac:dyDescent="0.2">
      <c r="A1044">
        <v>1043</v>
      </c>
      <c r="B1044" t="s">
        <v>46</v>
      </c>
      <c r="C1044" s="2">
        <v>45612</v>
      </c>
      <c r="D1044" t="s">
        <v>47</v>
      </c>
      <c r="E1044" t="s">
        <v>48</v>
      </c>
      <c r="F1044" t="s">
        <v>21</v>
      </c>
      <c r="G1044" t="s">
        <v>22</v>
      </c>
      <c r="H1044">
        <v>2</v>
      </c>
      <c r="I1044">
        <v>0.2</v>
      </c>
      <c r="J1044">
        <v>79.92</v>
      </c>
      <c r="K1044" t="s">
        <v>80</v>
      </c>
      <c r="L1044" t="s">
        <v>63</v>
      </c>
      <c r="M1044">
        <v>0</v>
      </c>
    </row>
    <row r="1045" spans="1:13" x14ac:dyDescent="0.2">
      <c r="A1045">
        <v>1044</v>
      </c>
      <c r="B1045" t="s">
        <v>50</v>
      </c>
      <c r="C1045" s="2">
        <v>45257</v>
      </c>
      <c r="D1045" t="s">
        <v>51</v>
      </c>
      <c r="E1045" t="s">
        <v>15</v>
      </c>
      <c r="F1045" t="s">
        <v>53</v>
      </c>
      <c r="G1045" t="s">
        <v>54</v>
      </c>
      <c r="H1045">
        <v>3</v>
      </c>
      <c r="I1045">
        <v>0</v>
      </c>
      <c r="J1045">
        <v>209.85</v>
      </c>
      <c r="K1045" t="s">
        <v>80</v>
      </c>
      <c r="L1045" t="s">
        <v>45</v>
      </c>
      <c r="M1045">
        <v>0</v>
      </c>
    </row>
    <row r="1046" spans="1:13" x14ac:dyDescent="0.2">
      <c r="A1046">
        <v>1045</v>
      </c>
      <c r="B1046" t="s">
        <v>64</v>
      </c>
      <c r="C1046" s="2">
        <v>45037</v>
      </c>
      <c r="D1046" t="s">
        <v>25</v>
      </c>
      <c r="E1046" t="s">
        <v>25</v>
      </c>
      <c r="F1046" t="s">
        <v>34</v>
      </c>
      <c r="G1046" t="s">
        <v>35</v>
      </c>
      <c r="H1046">
        <v>1</v>
      </c>
      <c r="I1046">
        <v>0.2</v>
      </c>
      <c r="J1046">
        <v>59.96</v>
      </c>
      <c r="K1046" t="s">
        <v>80</v>
      </c>
      <c r="L1046" t="s">
        <v>41</v>
      </c>
      <c r="M1046" t="s">
        <v>25</v>
      </c>
    </row>
    <row r="1047" spans="1:13" x14ac:dyDescent="0.2">
      <c r="A1047">
        <v>1046</v>
      </c>
      <c r="B1047" t="s">
        <v>81</v>
      </c>
      <c r="C1047" s="2">
        <v>45125</v>
      </c>
      <c r="D1047" t="s">
        <v>82</v>
      </c>
      <c r="E1047" t="s">
        <v>15</v>
      </c>
      <c r="F1047" t="s">
        <v>44</v>
      </c>
      <c r="H1047">
        <v>5</v>
      </c>
      <c r="I1047">
        <v>0</v>
      </c>
      <c r="J1047">
        <v>399.75</v>
      </c>
      <c r="K1047" t="s">
        <v>36</v>
      </c>
      <c r="L1047" t="s">
        <v>55</v>
      </c>
      <c r="M1047" t="s">
        <v>73</v>
      </c>
    </row>
    <row r="1048" spans="1:13" x14ac:dyDescent="0.2">
      <c r="A1048">
        <v>1047</v>
      </c>
      <c r="B1048" t="s">
        <v>85</v>
      </c>
      <c r="C1048" s="1">
        <v>45108</v>
      </c>
      <c r="D1048" t="s">
        <v>86</v>
      </c>
      <c r="E1048" t="s">
        <v>76</v>
      </c>
      <c r="F1048" t="s">
        <v>34</v>
      </c>
      <c r="G1048" t="s">
        <v>35</v>
      </c>
      <c r="H1048">
        <v>2</v>
      </c>
      <c r="I1048">
        <v>0.05</v>
      </c>
      <c r="J1048">
        <v>170.9</v>
      </c>
      <c r="K1048" t="s">
        <v>80</v>
      </c>
      <c r="M1048" t="s">
        <v>73</v>
      </c>
    </row>
    <row r="1049" spans="1:13" x14ac:dyDescent="0.2">
      <c r="A1049">
        <v>1048</v>
      </c>
      <c r="B1049" t="s">
        <v>74</v>
      </c>
      <c r="C1049" s="2">
        <v>44989</v>
      </c>
      <c r="D1049" t="s">
        <v>75</v>
      </c>
      <c r="E1049" t="s">
        <v>76</v>
      </c>
      <c r="F1049" t="s">
        <v>21</v>
      </c>
      <c r="G1049" t="s">
        <v>22</v>
      </c>
      <c r="H1049">
        <v>1</v>
      </c>
      <c r="I1049">
        <v>0.25</v>
      </c>
      <c r="J1049">
        <v>33.71</v>
      </c>
      <c r="K1049" t="s">
        <v>36</v>
      </c>
      <c r="M1049" t="s">
        <v>77</v>
      </c>
    </row>
    <row r="1050" spans="1:13" x14ac:dyDescent="0.2">
      <c r="A1050">
        <v>1049</v>
      </c>
      <c r="B1050" t="s">
        <v>56</v>
      </c>
      <c r="C1050" s="1">
        <v>45156</v>
      </c>
      <c r="D1050" t="s">
        <v>57</v>
      </c>
      <c r="E1050" t="s">
        <v>48</v>
      </c>
      <c r="F1050" t="s">
        <v>21</v>
      </c>
      <c r="G1050" t="s">
        <v>22</v>
      </c>
      <c r="H1050">
        <v>2</v>
      </c>
      <c r="I1050">
        <v>0</v>
      </c>
      <c r="J1050">
        <v>170</v>
      </c>
      <c r="K1050" t="s">
        <v>18</v>
      </c>
      <c r="L1050" t="s">
        <v>45</v>
      </c>
      <c r="M1050">
        <v>1</v>
      </c>
    </row>
    <row r="1051" spans="1:13" x14ac:dyDescent="0.2">
      <c r="A1051">
        <v>1050</v>
      </c>
      <c r="B1051" t="s">
        <v>46</v>
      </c>
      <c r="C1051" s="1">
        <v>45001</v>
      </c>
      <c r="D1051" t="s">
        <v>47</v>
      </c>
      <c r="E1051" t="s">
        <v>48</v>
      </c>
      <c r="F1051" t="s">
        <v>44</v>
      </c>
      <c r="H1051">
        <v>3</v>
      </c>
      <c r="I1051">
        <v>0.2</v>
      </c>
      <c r="J1051">
        <v>119.88</v>
      </c>
      <c r="K1051" t="s">
        <v>36</v>
      </c>
      <c r="L1051" t="s">
        <v>45</v>
      </c>
      <c r="M1051">
        <v>0</v>
      </c>
    </row>
    <row r="1052" spans="1:13" x14ac:dyDescent="0.2">
      <c r="A1052">
        <v>1051</v>
      </c>
      <c r="B1052" t="s">
        <v>56</v>
      </c>
      <c r="C1052" s="1">
        <v>45565</v>
      </c>
      <c r="D1052" t="s">
        <v>57</v>
      </c>
      <c r="E1052" t="s">
        <v>48</v>
      </c>
      <c r="F1052" t="s">
        <v>26</v>
      </c>
      <c r="G1052" t="s">
        <v>22</v>
      </c>
      <c r="H1052">
        <v>5</v>
      </c>
      <c r="I1052">
        <v>0.1</v>
      </c>
      <c r="J1052">
        <v>382.5</v>
      </c>
      <c r="K1052" t="s">
        <v>29</v>
      </c>
      <c r="L1052" t="s">
        <v>63</v>
      </c>
      <c r="M1052">
        <v>1</v>
      </c>
    </row>
    <row r="1053" spans="1:13" x14ac:dyDescent="0.2">
      <c r="A1053">
        <v>1052</v>
      </c>
      <c r="B1053" t="s">
        <v>56</v>
      </c>
      <c r="C1053" s="2">
        <v>45060</v>
      </c>
      <c r="D1053" t="s">
        <v>57</v>
      </c>
      <c r="E1053" t="s">
        <v>48</v>
      </c>
      <c r="F1053" t="s">
        <v>34</v>
      </c>
      <c r="G1053" t="s">
        <v>35</v>
      </c>
      <c r="H1053">
        <v>4</v>
      </c>
      <c r="I1053">
        <v>0.1</v>
      </c>
      <c r="J1053">
        <v>306</v>
      </c>
      <c r="K1053" t="s">
        <v>36</v>
      </c>
      <c r="L1053" t="s">
        <v>30</v>
      </c>
      <c r="M1053">
        <v>1</v>
      </c>
    </row>
    <row r="1054" spans="1:13" x14ac:dyDescent="0.2">
      <c r="A1054">
        <v>1053</v>
      </c>
      <c r="B1054" t="s">
        <v>58</v>
      </c>
      <c r="C1054" s="1">
        <v>45167</v>
      </c>
      <c r="D1054" t="s">
        <v>25</v>
      </c>
      <c r="E1054" t="s">
        <v>25</v>
      </c>
      <c r="F1054" t="s">
        <v>44</v>
      </c>
      <c r="H1054">
        <v>4</v>
      </c>
      <c r="I1054">
        <v>0</v>
      </c>
      <c r="J1054">
        <v>239.8</v>
      </c>
      <c r="K1054" t="s">
        <v>18</v>
      </c>
      <c r="L1054" t="s">
        <v>49</v>
      </c>
      <c r="M1054" t="s">
        <v>25</v>
      </c>
    </row>
    <row r="1055" spans="1:13" x14ac:dyDescent="0.2">
      <c r="A1055">
        <v>1054</v>
      </c>
      <c r="B1055" t="s">
        <v>71</v>
      </c>
      <c r="C1055" s="2">
        <v>45471</v>
      </c>
      <c r="D1055" t="s">
        <v>72</v>
      </c>
      <c r="E1055" t="s">
        <v>33</v>
      </c>
      <c r="F1055" t="s">
        <v>16</v>
      </c>
      <c r="G1055" t="s">
        <v>17</v>
      </c>
      <c r="H1055">
        <v>1</v>
      </c>
      <c r="I1055">
        <v>0.25</v>
      </c>
      <c r="J1055">
        <v>44.96</v>
      </c>
      <c r="K1055" t="s">
        <v>80</v>
      </c>
      <c r="L1055" t="s">
        <v>41</v>
      </c>
      <c r="M1055" t="s">
        <v>73</v>
      </c>
    </row>
    <row r="1056" spans="1:13" x14ac:dyDescent="0.2">
      <c r="A1056">
        <v>1055</v>
      </c>
      <c r="B1056" t="s">
        <v>88</v>
      </c>
      <c r="C1056" s="1">
        <v>44966</v>
      </c>
      <c r="D1056" t="s">
        <v>89</v>
      </c>
      <c r="E1056" t="s">
        <v>33</v>
      </c>
      <c r="F1056" t="s">
        <v>66</v>
      </c>
      <c r="G1056" t="s">
        <v>67</v>
      </c>
      <c r="H1056">
        <v>5</v>
      </c>
      <c r="I1056">
        <v>0.05</v>
      </c>
      <c r="J1056">
        <v>940.5</v>
      </c>
      <c r="K1056" t="s">
        <v>36</v>
      </c>
      <c r="L1056" t="s">
        <v>41</v>
      </c>
      <c r="M1056" t="b">
        <v>0</v>
      </c>
    </row>
    <row r="1057" spans="1:13" x14ac:dyDescent="0.2">
      <c r="A1057">
        <v>1056</v>
      </c>
      <c r="B1057" t="s">
        <v>68</v>
      </c>
      <c r="C1057" s="1">
        <v>45394</v>
      </c>
      <c r="D1057" t="s">
        <v>69</v>
      </c>
      <c r="E1057" t="s">
        <v>33</v>
      </c>
      <c r="G1057" t="s">
        <v>25</v>
      </c>
      <c r="H1057">
        <v>4</v>
      </c>
      <c r="I1057">
        <v>0.2</v>
      </c>
      <c r="J1057">
        <v>380.8</v>
      </c>
      <c r="K1057" t="s">
        <v>36</v>
      </c>
      <c r="L1057" t="s">
        <v>49</v>
      </c>
      <c r="M1057" t="b">
        <v>0</v>
      </c>
    </row>
    <row r="1058" spans="1:13" x14ac:dyDescent="0.2">
      <c r="A1058">
        <v>1057</v>
      </c>
      <c r="B1058" t="s">
        <v>78</v>
      </c>
      <c r="C1058" s="2">
        <v>45070</v>
      </c>
      <c r="D1058" t="s">
        <v>79</v>
      </c>
      <c r="E1058" t="s">
        <v>48</v>
      </c>
      <c r="F1058" t="s">
        <v>66</v>
      </c>
      <c r="G1058" t="s">
        <v>67</v>
      </c>
      <c r="H1058">
        <v>4</v>
      </c>
      <c r="I1058">
        <v>0.25</v>
      </c>
      <c r="J1058">
        <v>119.85</v>
      </c>
      <c r="K1058" t="s">
        <v>18</v>
      </c>
      <c r="L1058" t="s">
        <v>28</v>
      </c>
      <c r="M1058">
        <v>1</v>
      </c>
    </row>
    <row r="1059" spans="1:13" x14ac:dyDescent="0.2">
      <c r="A1059">
        <v>1058</v>
      </c>
      <c r="B1059" t="s">
        <v>19</v>
      </c>
      <c r="C1059" s="2">
        <v>45095</v>
      </c>
      <c r="D1059" t="s">
        <v>20</v>
      </c>
      <c r="E1059" t="s">
        <v>15</v>
      </c>
      <c r="F1059" t="s">
        <v>21</v>
      </c>
      <c r="G1059" t="s">
        <v>22</v>
      </c>
      <c r="H1059">
        <v>2</v>
      </c>
      <c r="I1059">
        <v>0</v>
      </c>
      <c r="J1059">
        <v>179.9</v>
      </c>
      <c r="K1059" t="s">
        <v>29</v>
      </c>
      <c r="L1059" t="s">
        <v>49</v>
      </c>
      <c r="M1059" t="b">
        <v>1</v>
      </c>
    </row>
    <row r="1060" spans="1:13" x14ac:dyDescent="0.2">
      <c r="A1060">
        <v>1059</v>
      </c>
      <c r="B1060" t="s">
        <v>74</v>
      </c>
      <c r="C1060" s="1">
        <v>45153</v>
      </c>
      <c r="D1060" t="s">
        <v>75</v>
      </c>
      <c r="E1060" t="s">
        <v>76</v>
      </c>
      <c r="F1060" t="s">
        <v>40</v>
      </c>
      <c r="G1060" t="s">
        <v>17</v>
      </c>
      <c r="H1060">
        <v>2</v>
      </c>
      <c r="I1060">
        <v>0</v>
      </c>
      <c r="J1060">
        <v>89.9</v>
      </c>
      <c r="K1060" t="s">
        <v>80</v>
      </c>
      <c r="L1060" t="s">
        <v>28</v>
      </c>
      <c r="M1060" t="s">
        <v>77</v>
      </c>
    </row>
    <row r="1061" spans="1:13" x14ac:dyDescent="0.2">
      <c r="A1061">
        <v>1060</v>
      </c>
      <c r="B1061" t="s">
        <v>68</v>
      </c>
      <c r="C1061" s="2">
        <v>45196</v>
      </c>
      <c r="D1061" t="s">
        <v>69</v>
      </c>
      <c r="E1061" t="s">
        <v>33</v>
      </c>
      <c r="F1061" t="s">
        <v>21</v>
      </c>
      <c r="G1061" t="s">
        <v>22</v>
      </c>
      <c r="H1061">
        <v>3</v>
      </c>
      <c r="I1061">
        <v>0</v>
      </c>
      <c r="J1061">
        <v>357</v>
      </c>
      <c r="K1061" t="s">
        <v>80</v>
      </c>
      <c r="L1061" t="s">
        <v>41</v>
      </c>
      <c r="M1061" t="b">
        <v>0</v>
      </c>
    </row>
    <row r="1062" spans="1:13" x14ac:dyDescent="0.2">
      <c r="A1062">
        <v>1061</v>
      </c>
      <c r="B1062" t="s">
        <v>50</v>
      </c>
      <c r="C1062" s="1">
        <v>45419</v>
      </c>
      <c r="D1062" t="s">
        <v>51</v>
      </c>
      <c r="E1062" t="s">
        <v>15</v>
      </c>
      <c r="F1062" t="s">
        <v>34</v>
      </c>
      <c r="G1062" t="s">
        <v>35</v>
      </c>
      <c r="H1062">
        <v>5</v>
      </c>
      <c r="I1062">
        <v>0</v>
      </c>
      <c r="J1062">
        <v>349.75</v>
      </c>
      <c r="K1062" t="s">
        <v>27</v>
      </c>
      <c r="L1062" t="s">
        <v>55</v>
      </c>
      <c r="M1062">
        <v>0</v>
      </c>
    </row>
    <row r="1063" spans="1:13" x14ac:dyDescent="0.2">
      <c r="A1063">
        <v>1062</v>
      </c>
      <c r="B1063" t="s">
        <v>74</v>
      </c>
      <c r="C1063" s="2">
        <v>45391</v>
      </c>
      <c r="D1063" t="s">
        <v>75</v>
      </c>
      <c r="E1063" t="s">
        <v>76</v>
      </c>
      <c r="F1063" t="s">
        <v>34</v>
      </c>
      <c r="G1063" t="s">
        <v>35</v>
      </c>
      <c r="H1063">
        <v>3</v>
      </c>
      <c r="I1063">
        <v>0</v>
      </c>
      <c r="J1063">
        <v>134.85</v>
      </c>
      <c r="K1063" t="s">
        <v>52</v>
      </c>
      <c r="L1063" t="s">
        <v>49</v>
      </c>
      <c r="M1063" t="s">
        <v>77</v>
      </c>
    </row>
    <row r="1064" spans="1:13" x14ac:dyDescent="0.2">
      <c r="A1064">
        <v>1063</v>
      </c>
      <c r="B1064" t="s">
        <v>19</v>
      </c>
      <c r="C1064" s="1">
        <v>44943</v>
      </c>
      <c r="D1064" t="s">
        <v>20</v>
      </c>
      <c r="E1064" t="s">
        <v>15</v>
      </c>
      <c r="F1064" t="s">
        <v>16</v>
      </c>
      <c r="G1064" t="s">
        <v>17</v>
      </c>
      <c r="H1064">
        <v>4</v>
      </c>
      <c r="I1064">
        <v>0.25</v>
      </c>
      <c r="J1064">
        <v>269.85000000000002</v>
      </c>
      <c r="K1064" t="s">
        <v>27</v>
      </c>
      <c r="L1064" t="s">
        <v>49</v>
      </c>
      <c r="M1064" t="b">
        <v>1</v>
      </c>
    </row>
    <row r="1065" spans="1:13" x14ac:dyDescent="0.2">
      <c r="A1065">
        <v>1064</v>
      </c>
      <c r="B1065" t="s">
        <v>74</v>
      </c>
      <c r="C1065" s="1">
        <v>44988</v>
      </c>
      <c r="D1065" t="s">
        <v>75</v>
      </c>
      <c r="E1065" t="s">
        <v>76</v>
      </c>
      <c r="F1065" t="s">
        <v>44</v>
      </c>
      <c r="H1065">
        <v>5</v>
      </c>
      <c r="I1065">
        <v>0</v>
      </c>
      <c r="J1065">
        <v>224.75</v>
      </c>
      <c r="K1065" t="s">
        <v>80</v>
      </c>
      <c r="L1065" t="s">
        <v>41</v>
      </c>
      <c r="M1065" t="s">
        <v>77</v>
      </c>
    </row>
    <row r="1066" spans="1:13" x14ac:dyDescent="0.2">
      <c r="A1066">
        <v>1065</v>
      </c>
      <c r="B1066" t="s">
        <v>74</v>
      </c>
      <c r="C1066" s="2">
        <v>45365</v>
      </c>
      <c r="D1066" t="s">
        <v>75</v>
      </c>
      <c r="E1066" t="s">
        <v>76</v>
      </c>
      <c r="F1066" t="s">
        <v>40</v>
      </c>
      <c r="G1066" t="s">
        <v>17</v>
      </c>
      <c r="H1066">
        <v>2</v>
      </c>
      <c r="I1066">
        <v>0</v>
      </c>
      <c r="J1066">
        <v>89.9</v>
      </c>
      <c r="K1066" t="s">
        <v>80</v>
      </c>
      <c r="L1066" t="s">
        <v>49</v>
      </c>
      <c r="M1066" t="s">
        <v>77</v>
      </c>
    </row>
    <row r="1067" spans="1:13" x14ac:dyDescent="0.2">
      <c r="A1067">
        <v>1066</v>
      </c>
      <c r="B1067" t="s">
        <v>61</v>
      </c>
      <c r="C1067" s="2">
        <v>45612</v>
      </c>
      <c r="D1067" t="s">
        <v>62</v>
      </c>
      <c r="E1067" t="s">
        <v>33</v>
      </c>
      <c r="F1067" t="s">
        <v>66</v>
      </c>
      <c r="G1067" t="s">
        <v>67</v>
      </c>
      <c r="H1067">
        <v>4</v>
      </c>
      <c r="I1067">
        <v>0.15</v>
      </c>
      <c r="J1067">
        <v>118.97</v>
      </c>
      <c r="K1067" t="s">
        <v>36</v>
      </c>
      <c r="L1067" t="s">
        <v>49</v>
      </c>
      <c r="M1067">
        <v>0</v>
      </c>
    </row>
    <row r="1068" spans="1:13" x14ac:dyDescent="0.2">
      <c r="A1068">
        <v>1067</v>
      </c>
      <c r="B1068" t="s">
        <v>78</v>
      </c>
      <c r="C1068" s="2">
        <v>45636</v>
      </c>
      <c r="D1068" t="s">
        <v>25</v>
      </c>
      <c r="E1068" t="s">
        <v>25</v>
      </c>
      <c r="F1068" t="s">
        <v>66</v>
      </c>
      <c r="G1068" t="s">
        <v>67</v>
      </c>
      <c r="H1068">
        <v>2</v>
      </c>
      <c r="I1068">
        <v>0.1</v>
      </c>
      <c r="J1068">
        <v>71.91</v>
      </c>
      <c r="K1068" t="s">
        <v>27</v>
      </c>
      <c r="L1068" t="s">
        <v>55</v>
      </c>
      <c r="M1068" t="s">
        <v>25</v>
      </c>
    </row>
    <row r="1069" spans="1:13" x14ac:dyDescent="0.2">
      <c r="A1069">
        <v>1068</v>
      </c>
      <c r="B1069" t="s">
        <v>81</v>
      </c>
      <c r="C1069" s="2">
        <v>45585</v>
      </c>
      <c r="D1069" t="s">
        <v>82</v>
      </c>
      <c r="E1069" t="s">
        <v>15</v>
      </c>
      <c r="F1069" t="s">
        <v>34</v>
      </c>
      <c r="G1069" t="s">
        <v>35</v>
      </c>
      <c r="H1069">
        <v>2</v>
      </c>
      <c r="I1069" t="s">
        <v>70</v>
      </c>
      <c r="J1069">
        <v>159.9</v>
      </c>
      <c r="K1069" t="s">
        <v>18</v>
      </c>
      <c r="L1069" t="s">
        <v>63</v>
      </c>
      <c r="M1069" t="s">
        <v>73</v>
      </c>
    </row>
    <row r="1070" spans="1:13" x14ac:dyDescent="0.2">
      <c r="A1070">
        <v>1069</v>
      </c>
      <c r="B1070" t="s">
        <v>46</v>
      </c>
      <c r="C1070" s="1">
        <v>45464</v>
      </c>
      <c r="D1070" t="s">
        <v>47</v>
      </c>
      <c r="E1070" t="s">
        <v>48</v>
      </c>
      <c r="F1070" t="s">
        <v>66</v>
      </c>
      <c r="G1070" t="s">
        <v>67</v>
      </c>
      <c r="H1070">
        <v>3</v>
      </c>
      <c r="I1070">
        <v>0.1</v>
      </c>
      <c r="J1070">
        <v>134.87</v>
      </c>
      <c r="K1070" t="s">
        <v>80</v>
      </c>
      <c r="L1070" t="s">
        <v>30</v>
      </c>
      <c r="M1070">
        <v>0</v>
      </c>
    </row>
    <row r="1071" spans="1:13" x14ac:dyDescent="0.2">
      <c r="A1071">
        <v>1070</v>
      </c>
      <c r="B1071" t="s">
        <v>24</v>
      </c>
      <c r="C1071" s="2">
        <v>44933</v>
      </c>
      <c r="D1071" t="s">
        <v>87</v>
      </c>
      <c r="E1071" t="s">
        <v>39</v>
      </c>
      <c r="F1071" t="s">
        <v>44</v>
      </c>
      <c r="H1071">
        <v>3</v>
      </c>
      <c r="I1071">
        <v>0.2</v>
      </c>
      <c r="J1071">
        <v>107.88</v>
      </c>
      <c r="K1071" t="s">
        <v>36</v>
      </c>
      <c r="L1071" t="s">
        <v>45</v>
      </c>
      <c r="M1071" t="b">
        <v>1</v>
      </c>
    </row>
    <row r="1072" spans="1:13" x14ac:dyDescent="0.2">
      <c r="A1072">
        <v>1071</v>
      </c>
      <c r="B1072" t="s">
        <v>56</v>
      </c>
      <c r="C1072" s="2">
        <v>45056</v>
      </c>
      <c r="D1072" t="s">
        <v>25</v>
      </c>
      <c r="E1072" t="s">
        <v>25</v>
      </c>
      <c r="F1072" t="s">
        <v>66</v>
      </c>
      <c r="G1072" t="s">
        <v>67</v>
      </c>
      <c r="H1072">
        <v>1</v>
      </c>
      <c r="I1072">
        <v>0</v>
      </c>
      <c r="J1072">
        <v>85</v>
      </c>
      <c r="K1072" t="s">
        <v>27</v>
      </c>
      <c r="L1072" t="s">
        <v>63</v>
      </c>
      <c r="M1072" t="s">
        <v>25</v>
      </c>
    </row>
    <row r="1073" spans="1:13" x14ac:dyDescent="0.2">
      <c r="A1073">
        <v>1072</v>
      </c>
      <c r="B1073" t="s">
        <v>85</v>
      </c>
      <c r="C1073" s="2">
        <v>45493</v>
      </c>
      <c r="D1073" t="s">
        <v>86</v>
      </c>
      <c r="E1073" t="s">
        <v>76</v>
      </c>
      <c r="F1073" t="s">
        <v>34</v>
      </c>
      <c r="G1073" t="s">
        <v>35</v>
      </c>
      <c r="H1073">
        <v>3</v>
      </c>
      <c r="I1073">
        <v>0.25</v>
      </c>
      <c r="J1073">
        <v>202.39</v>
      </c>
      <c r="K1073" t="s">
        <v>18</v>
      </c>
      <c r="L1073" t="s">
        <v>45</v>
      </c>
      <c r="M1073" t="s">
        <v>73</v>
      </c>
    </row>
    <row r="1074" spans="1:13" x14ac:dyDescent="0.2">
      <c r="A1074">
        <v>1073</v>
      </c>
      <c r="B1074" t="s">
        <v>83</v>
      </c>
      <c r="C1074" s="1">
        <v>45298</v>
      </c>
      <c r="D1074" t="s">
        <v>84</v>
      </c>
      <c r="E1074" t="s">
        <v>48</v>
      </c>
      <c r="F1074" t="s">
        <v>40</v>
      </c>
      <c r="G1074" t="s">
        <v>17</v>
      </c>
      <c r="H1074">
        <v>4</v>
      </c>
      <c r="I1074">
        <v>0.15</v>
      </c>
      <c r="J1074">
        <v>169.83</v>
      </c>
      <c r="K1074" t="s">
        <v>36</v>
      </c>
      <c r="L1074" t="s">
        <v>30</v>
      </c>
      <c r="M1074">
        <v>0</v>
      </c>
    </row>
    <row r="1075" spans="1:13" x14ac:dyDescent="0.2">
      <c r="A1075">
        <v>1074</v>
      </c>
      <c r="B1075" t="s">
        <v>74</v>
      </c>
      <c r="C1075" s="1">
        <v>44981</v>
      </c>
      <c r="D1075" t="s">
        <v>75</v>
      </c>
      <c r="E1075" t="s">
        <v>76</v>
      </c>
      <c r="F1075" t="s">
        <v>44</v>
      </c>
      <c r="H1075">
        <v>5</v>
      </c>
      <c r="I1075">
        <v>0.05</v>
      </c>
      <c r="J1075">
        <v>213.51</v>
      </c>
      <c r="K1075" t="s">
        <v>29</v>
      </c>
      <c r="L1075" t="s">
        <v>55</v>
      </c>
      <c r="M1075" t="s">
        <v>77</v>
      </c>
    </row>
    <row r="1076" spans="1:13" x14ac:dyDescent="0.2">
      <c r="A1076">
        <v>1075</v>
      </c>
      <c r="B1076" t="s">
        <v>81</v>
      </c>
      <c r="C1076" s="2">
        <v>45113</v>
      </c>
      <c r="D1076" t="s">
        <v>82</v>
      </c>
      <c r="E1076" t="s">
        <v>15</v>
      </c>
      <c r="F1076" t="s">
        <v>34</v>
      </c>
      <c r="G1076" t="s">
        <v>35</v>
      </c>
      <c r="H1076">
        <v>5</v>
      </c>
      <c r="I1076">
        <v>0</v>
      </c>
      <c r="J1076">
        <v>399.75</v>
      </c>
      <c r="K1076" t="s">
        <v>52</v>
      </c>
      <c r="L1076" t="s">
        <v>23</v>
      </c>
      <c r="M1076" t="s">
        <v>73</v>
      </c>
    </row>
    <row r="1077" spans="1:13" x14ac:dyDescent="0.2">
      <c r="A1077">
        <v>1076</v>
      </c>
      <c r="B1077" t="s">
        <v>81</v>
      </c>
      <c r="C1077" s="2">
        <v>45490</v>
      </c>
      <c r="D1077" t="s">
        <v>82</v>
      </c>
      <c r="E1077" t="s">
        <v>15</v>
      </c>
      <c r="F1077" t="s">
        <v>40</v>
      </c>
      <c r="G1077" t="s">
        <v>17</v>
      </c>
      <c r="H1077">
        <v>1</v>
      </c>
      <c r="I1077">
        <v>0.1</v>
      </c>
      <c r="J1077">
        <v>71.959999999999994</v>
      </c>
      <c r="K1077" t="s">
        <v>80</v>
      </c>
      <c r="L1077" t="s">
        <v>63</v>
      </c>
      <c r="M1077" t="s">
        <v>73</v>
      </c>
    </row>
    <row r="1078" spans="1:13" x14ac:dyDescent="0.2">
      <c r="A1078">
        <v>1077</v>
      </c>
      <c r="B1078" t="s">
        <v>64</v>
      </c>
      <c r="C1078" s="2">
        <v>45587</v>
      </c>
      <c r="D1078" t="s">
        <v>65</v>
      </c>
      <c r="E1078" t="s">
        <v>33</v>
      </c>
      <c r="F1078" t="s">
        <v>53</v>
      </c>
      <c r="G1078" t="s">
        <v>54</v>
      </c>
      <c r="H1078">
        <v>4</v>
      </c>
      <c r="I1078">
        <v>0</v>
      </c>
      <c r="J1078">
        <v>299.8</v>
      </c>
      <c r="K1078" t="s">
        <v>36</v>
      </c>
      <c r="L1078" t="s">
        <v>41</v>
      </c>
      <c r="M1078">
        <v>0</v>
      </c>
    </row>
    <row r="1079" spans="1:13" x14ac:dyDescent="0.2">
      <c r="A1079">
        <v>1078</v>
      </c>
      <c r="B1079" t="s">
        <v>81</v>
      </c>
      <c r="C1079" s="1">
        <v>45545</v>
      </c>
      <c r="D1079" t="s">
        <v>82</v>
      </c>
      <c r="E1079" t="s">
        <v>15</v>
      </c>
      <c r="F1079" t="s">
        <v>53</v>
      </c>
      <c r="G1079" t="s">
        <v>54</v>
      </c>
      <c r="H1079">
        <v>4</v>
      </c>
      <c r="I1079">
        <v>0</v>
      </c>
      <c r="J1079">
        <v>319.8</v>
      </c>
      <c r="K1079" t="s">
        <v>29</v>
      </c>
      <c r="L1079" t="s">
        <v>45</v>
      </c>
      <c r="M1079" t="s">
        <v>73</v>
      </c>
    </row>
    <row r="1080" spans="1:13" x14ac:dyDescent="0.2">
      <c r="A1080">
        <v>1079</v>
      </c>
      <c r="B1080" t="s">
        <v>46</v>
      </c>
      <c r="C1080" s="1">
        <v>45520</v>
      </c>
      <c r="D1080" t="s">
        <v>47</v>
      </c>
      <c r="E1080" t="s">
        <v>48</v>
      </c>
      <c r="F1080" t="s">
        <v>44</v>
      </c>
      <c r="H1080">
        <v>2</v>
      </c>
      <c r="I1080">
        <v>0</v>
      </c>
      <c r="J1080">
        <v>99.9</v>
      </c>
      <c r="K1080" t="s">
        <v>18</v>
      </c>
      <c r="L1080" t="s">
        <v>49</v>
      </c>
      <c r="M1080">
        <v>0</v>
      </c>
    </row>
    <row r="1081" spans="1:13" x14ac:dyDescent="0.2">
      <c r="A1081">
        <v>1080</v>
      </c>
      <c r="B1081" t="s">
        <v>56</v>
      </c>
      <c r="C1081" s="1">
        <v>45198</v>
      </c>
      <c r="D1081" t="s">
        <v>57</v>
      </c>
      <c r="E1081" t="s">
        <v>48</v>
      </c>
      <c r="F1081" t="s">
        <v>26</v>
      </c>
      <c r="G1081" t="s">
        <v>22</v>
      </c>
      <c r="H1081">
        <v>2</v>
      </c>
      <c r="I1081">
        <v>0</v>
      </c>
      <c r="J1081">
        <v>170</v>
      </c>
      <c r="K1081" t="s">
        <v>27</v>
      </c>
      <c r="L1081" t="s">
        <v>23</v>
      </c>
      <c r="M1081">
        <v>1</v>
      </c>
    </row>
    <row r="1082" spans="1:13" x14ac:dyDescent="0.2">
      <c r="A1082">
        <v>1081</v>
      </c>
      <c r="B1082" t="s">
        <v>78</v>
      </c>
      <c r="C1082" s="2">
        <v>45474</v>
      </c>
      <c r="D1082" t="s">
        <v>25</v>
      </c>
      <c r="E1082" t="s">
        <v>25</v>
      </c>
      <c r="F1082" t="s">
        <v>40</v>
      </c>
      <c r="G1082" t="s">
        <v>17</v>
      </c>
      <c r="H1082">
        <v>3</v>
      </c>
      <c r="I1082">
        <v>0</v>
      </c>
      <c r="J1082">
        <v>119.85</v>
      </c>
      <c r="K1082" t="s">
        <v>36</v>
      </c>
      <c r="M1082" t="s">
        <v>25</v>
      </c>
    </row>
    <row r="1083" spans="1:13" x14ac:dyDescent="0.2">
      <c r="A1083">
        <v>1082</v>
      </c>
      <c r="B1083" t="s">
        <v>74</v>
      </c>
      <c r="C1083" s="2">
        <v>44995</v>
      </c>
      <c r="D1083" t="s">
        <v>75</v>
      </c>
      <c r="E1083" t="s">
        <v>76</v>
      </c>
      <c r="F1083" t="s">
        <v>34</v>
      </c>
      <c r="G1083" t="s">
        <v>35</v>
      </c>
      <c r="H1083">
        <v>1</v>
      </c>
      <c r="I1083">
        <v>0.15</v>
      </c>
      <c r="J1083">
        <v>38.21</v>
      </c>
      <c r="K1083" t="s">
        <v>29</v>
      </c>
      <c r="M1083" t="s">
        <v>77</v>
      </c>
    </row>
    <row r="1084" spans="1:13" x14ac:dyDescent="0.2">
      <c r="A1084">
        <v>1083</v>
      </c>
      <c r="B1084" t="s">
        <v>81</v>
      </c>
      <c r="C1084" s="2">
        <v>45130</v>
      </c>
      <c r="D1084" t="s">
        <v>82</v>
      </c>
      <c r="E1084" t="s">
        <v>15</v>
      </c>
      <c r="F1084" t="s">
        <v>66</v>
      </c>
      <c r="G1084" t="s">
        <v>67</v>
      </c>
      <c r="H1084">
        <v>3</v>
      </c>
      <c r="J1084">
        <v>239.85</v>
      </c>
      <c r="K1084" t="s">
        <v>52</v>
      </c>
      <c r="L1084" t="s">
        <v>55</v>
      </c>
      <c r="M1084" t="s">
        <v>73</v>
      </c>
    </row>
    <row r="1085" spans="1:13" x14ac:dyDescent="0.2">
      <c r="A1085">
        <v>1084</v>
      </c>
      <c r="B1085" t="s">
        <v>42</v>
      </c>
      <c r="C1085" s="1">
        <v>44976</v>
      </c>
      <c r="D1085" t="s">
        <v>43</v>
      </c>
      <c r="E1085" t="s">
        <v>15</v>
      </c>
      <c r="F1085" t="s">
        <v>44</v>
      </c>
      <c r="H1085">
        <v>5</v>
      </c>
      <c r="I1085">
        <v>0</v>
      </c>
      <c r="J1085">
        <v>645</v>
      </c>
      <c r="K1085" t="s">
        <v>29</v>
      </c>
      <c r="L1085" t="s">
        <v>45</v>
      </c>
      <c r="M1085" t="b">
        <v>1</v>
      </c>
    </row>
    <row r="1086" spans="1:13" x14ac:dyDescent="0.2">
      <c r="A1086">
        <v>1085</v>
      </c>
      <c r="B1086" t="s">
        <v>58</v>
      </c>
      <c r="C1086" s="2">
        <v>45318</v>
      </c>
      <c r="D1086" t="s">
        <v>59</v>
      </c>
      <c r="E1086" t="s">
        <v>15</v>
      </c>
      <c r="F1086" t="s">
        <v>66</v>
      </c>
      <c r="G1086" t="s">
        <v>67</v>
      </c>
      <c r="H1086">
        <v>1</v>
      </c>
      <c r="I1086">
        <v>0</v>
      </c>
      <c r="J1086">
        <v>59.95</v>
      </c>
      <c r="K1086" t="s">
        <v>27</v>
      </c>
      <c r="L1086" t="s">
        <v>55</v>
      </c>
      <c r="M1086">
        <v>1</v>
      </c>
    </row>
    <row r="1087" spans="1:13" x14ac:dyDescent="0.2">
      <c r="A1087">
        <v>1086</v>
      </c>
      <c r="B1087" t="s">
        <v>19</v>
      </c>
      <c r="C1087" s="2">
        <v>45512</v>
      </c>
      <c r="D1087" t="s">
        <v>20</v>
      </c>
      <c r="E1087" t="s">
        <v>15</v>
      </c>
      <c r="F1087" t="s">
        <v>44</v>
      </c>
      <c r="H1087">
        <v>2</v>
      </c>
      <c r="I1087">
        <v>0.05</v>
      </c>
      <c r="J1087">
        <v>170.9</v>
      </c>
      <c r="K1087" t="s">
        <v>52</v>
      </c>
      <c r="L1087" t="s">
        <v>23</v>
      </c>
      <c r="M1087" t="b">
        <v>1</v>
      </c>
    </row>
    <row r="1088" spans="1:13" x14ac:dyDescent="0.2">
      <c r="A1088">
        <v>1087</v>
      </c>
      <c r="B1088" t="s">
        <v>61</v>
      </c>
      <c r="C1088" s="2">
        <v>45218</v>
      </c>
      <c r="D1088" t="s">
        <v>25</v>
      </c>
      <c r="E1088" t="s">
        <v>25</v>
      </c>
      <c r="F1088" t="s">
        <v>16</v>
      </c>
      <c r="G1088" t="s">
        <v>17</v>
      </c>
      <c r="H1088">
        <v>3</v>
      </c>
      <c r="I1088">
        <v>0</v>
      </c>
      <c r="J1088">
        <v>104.97</v>
      </c>
      <c r="K1088" t="s">
        <v>27</v>
      </c>
      <c r="L1088" t="s">
        <v>55</v>
      </c>
      <c r="M1088" t="s">
        <v>25</v>
      </c>
    </row>
    <row r="1089" spans="1:13" x14ac:dyDescent="0.2">
      <c r="A1089">
        <v>1088</v>
      </c>
      <c r="B1089" t="s">
        <v>71</v>
      </c>
      <c r="C1089" s="2">
        <v>45532</v>
      </c>
      <c r="D1089" t="s">
        <v>25</v>
      </c>
      <c r="E1089" t="s">
        <v>25</v>
      </c>
      <c r="F1089" t="s">
        <v>66</v>
      </c>
      <c r="G1089" t="s">
        <v>67</v>
      </c>
      <c r="H1089">
        <v>3</v>
      </c>
      <c r="I1089">
        <v>0.2</v>
      </c>
      <c r="J1089">
        <v>143.88</v>
      </c>
      <c r="K1089" t="s">
        <v>27</v>
      </c>
      <c r="L1089" t="s">
        <v>45</v>
      </c>
      <c r="M1089" t="s">
        <v>25</v>
      </c>
    </row>
    <row r="1090" spans="1:13" x14ac:dyDescent="0.2">
      <c r="A1090">
        <v>1089</v>
      </c>
      <c r="B1090" t="s">
        <v>81</v>
      </c>
      <c r="C1090" s="2">
        <v>45524</v>
      </c>
      <c r="D1090" t="s">
        <v>82</v>
      </c>
      <c r="E1090" t="s">
        <v>15</v>
      </c>
      <c r="F1090" t="s">
        <v>34</v>
      </c>
      <c r="G1090" t="s">
        <v>35</v>
      </c>
      <c r="H1090">
        <v>5</v>
      </c>
      <c r="I1090">
        <v>0.15</v>
      </c>
      <c r="J1090">
        <v>339.79</v>
      </c>
      <c r="K1090" t="s">
        <v>36</v>
      </c>
      <c r="L1090" t="s">
        <v>45</v>
      </c>
      <c r="M1090" t="s">
        <v>73</v>
      </c>
    </row>
    <row r="1091" spans="1:13" x14ac:dyDescent="0.2">
      <c r="A1091">
        <v>1090</v>
      </c>
      <c r="B1091" t="s">
        <v>74</v>
      </c>
      <c r="C1091" s="2">
        <v>45192</v>
      </c>
      <c r="D1091" t="s">
        <v>75</v>
      </c>
      <c r="E1091" t="s">
        <v>76</v>
      </c>
      <c r="F1091" t="s">
        <v>40</v>
      </c>
      <c r="G1091" t="s">
        <v>17</v>
      </c>
      <c r="H1091">
        <v>3</v>
      </c>
      <c r="I1091">
        <v>0</v>
      </c>
      <c r="J1091">
        <v>134.85</v>
      </c>
      <c r="K1091" t="s">
        <v>27</v>
      </c>
      <c r="L1091" t="s">
        <v>63</v>
      </c>
      <c r="M1091" t="s">
        <v>77</v>
      </c>
    </row>
    <row r="1092" spans="1:13" x14ac:dyDescent="0.2">
      <c r="A1092">
        <v>1091</v>
      </c>
      <c r="B1092" t="s">
        <v>56</v>
      </c>
      <c r="C1092" s="1">
        <v>45540</v>
      </c>
      <c r="D1092" t="s">
        <v>25</v>
      </c>
      <c r="E1092" t="s">
        <v>25</v>
      </c>
      <c r="F1092" t="s">
        <v>34</v>
      </c>
      <c r="G1092" t="s">
        <v>35</v>
      </c>
      <c r="H1092">
        <v>4</v>
      </c>
      <c r="I1092">
        <v>0.1</v>
      </c>
      <c r="J1092">
        <v>306</v>
      </c>
      <c r="K1092" t="s">
        <v>18</v>
      </c>
      <c r="L1092" t="s">
        <v>23</v>
      </c>
      <c r="M1092" t="s">
        <v>25</v>
      </c>
    </row>
    <row r="1093" spans="1:13" x14ac:dyDescent="0.2">
      <c r="A1093">
        <v>1092</v>
      </c>
      <c r="B1093" t="s">
        <v>78</v>
      </c>
      <c r="C1093" s="1">
        <v>45089</v>
      </c>
      <c r="D1093" t="s">
        <v>25</v>
      </c>
      <c r="E1093" t="s">
        <v>25</v>
      </c>
      <c r="F1093" t="s">
        <v>53</v>
      </c>
      <c r="G1093" t="s">
        <v>54</v>
      </c>
      <c r="H1093">
        <v>1</v>
      </c>
      <c r="I1093">
        <v>0.15</v>
      </c>
      <c r="J1093">
        <v>33.96</v>
      </c>
      <c r="K1093" t="s">
        <v>52</v>
      </c>
      <c r="M1093" t="s">
        <v>25</v>
      </c>
    </row>
    <row r="1094" spans="1:13" x14ac:dyDescent="0.2">
      <c r="A1094">
        <v>1093</v>
      </c>
      <c r="B1094" t="s">
        <v>83</v>
      </c>
      <c r="C1094" s="1">
        <v>45242</v>
      </c>
      <c r="D1094" t="s">
        <v>84</v>
      </c>
      <c r="E1094" t="s">
        <v>48</v>
      </c>
      <c r="F1094" t="s">
        <v>21</v>
      </c>
      <c r="G1094" t="s">
        <v>22</v>
      </c>
      <c r="H1094">
        <v>5</v>
      </c>
      <c r="I1094">
        <v>0.25</v>
      </c>
      <c r="J1094">
        <v>187.31</v>
      </c>
      <c r="K1094" t="s">
        <v>29</v>
      </c>
      <c r="L1094" t="s">
        <v>49</v>
      </c>
      <c r="M1094">
        <v>0</v>
      </c>
    </row>
    <row r="1095" spans="1:13" x14ac:dyDescent="0.2">
      <c r="A1095">
        <v>1094</v>
      </c>
      <c r="B1095" t="s">
        <v>46</v>
      </c>
      <c r="C1095" s="2">
        <v>44929</v>
      </c>
      <c r="D1095" t="s">
        <v>47</v>
      </c>
      <c r="E1095" t="s">
        <v>48</v>
      </c>
      <c r="G1095" t="s">
        <v>25</v>
      </c>
      <c r="H1095">
        <v>2</v>
      </c>
      <c r="I1095">
        <v>0.1</v>
      </c>
      <c r="J1095">
        <v>89.91</v>
      </c>
      <c r="K1095" t="s">
        <v>29</v>
      </c>
      <c r="L1095" t="s">
        <v>41</v>
      </c>
      <c r="M1095">
        <v>0</v>
      </c>
    </row>
    <row r="1096" spans="1:13" x14ac:dyDescent="0.2">
      <c r="A1096">
        <v>1095</v>
      </c>
      <c r="B1096" t="s">
        <v>56</v>
      </c>
      <c r="C1096" s="2">
        <v>45209</v>
      </c>
      <c r="D1096" t="s">
        <v>57</v>
      </c>
      <c r="E1096" t="s">
        <v>48</v>
      </c>
      <c r="F1096" t="s">
        <v>21</v>
      </c>
      <c r="G1096" t="s">
        <v>22</v>
      </c>
      <c r="H1096">
        <v>2</v>
      </c>
      <c r="I1096">
        <v>0</v>
      </c>
      <c r="J1096">
        <v>170</v>
      </c>
      <c r="K1096" t="s">
        <v>29</v>
      </c>
      <c r="L1096" t="s">
        <v>41</v>
      </c>
      <c r="M1096">
        <v>1</v>
      </c>
    </row>
    <row r="1097" spans="1:13" x14ac:dyDescent="0.2">
      <c r="A1097">
        <v>1096</v>
      </c>
      <c r="B1097" t="s">
        <v>46</v>
      </c>
      <c r="C1097" s="1">
        <v>45127</v>
      </c>
      <c r="D1097" t="s">
        <v>25</v>
      </c>
      <c r="E1097" t="s">
        <v>25</v>
      </c>
      <c r="G1097" t="s">
        <v>25</v>
      </c>
      <c r="H1097">
        <v>3</v>
      </c>
      <c r="I1097">
        <v>0</v>
      </c>
      <c r="J1097">
        <v>149.85</v>
      </c>
      <c r="K1097" t="s">
        <v>27</v>
      </c>
      <c r="M1097" t="s">
        <v>25</v>
      </c>
    </row>
    <row r="1098" spans="1:13" x14ac:dyDescent="0.2">
      <c r="A1098">
        <v>1097</v>
      </c>
      <c r="B1098" t="s">
        <v>78</v>
      </c>
      <c r="C1098" s="2">
        <v>45337</v>
      </c>
      <c r="D1098" t="s">
        <v>79</v>
      </c>
      <c r="E1098" t="s">
        <v>48</v>
      </c>
      <c r="F1098" t="s">
        <v>40</v>
      </c>
      <c r="G1098" t="s">
        <v>17</v>
      </c>
      <c r="H1098">
        <v>3</v>
      </c>
      <c r="I1098">
        <v>0.25</v>
      </c>
      <c r="J1098">
        <v>89.89</v>
      </c>
      <c r="K1098" t="s">
        <v>18</v>
      </c>
      <c r="L1098" t="s">
        <v>30</v>
      </c>
      <c r="M1098">
        <v>1</v>
      </c>
    </row>
    <row r="1099" spans="1:13" x14ac:dyDescent="0.2">
      <c r="A1099">
        <v>1098</v>
      </c>
      <c r="B1099" t="s">
        <v>71</v>
      </c>
      <c r="C1099" s="1">
        <v>45050</v>
      </c>
      <c r="D1099" t="s">
        <v>72</v>
      </c>
      <c r="E1099" t="s">
        <v>33</v>
      </c>
      <c r="G1099" t="s">
        <v>25</v>
      </c>
      <c r="H1099">
        <v>3</v>
      </c>
      <c r="I1099">
        <v>0.25</v>
      </c>
      <c r="J1099">
        <v>134.88999999999999</v>
      </c>
      <c r="K1099" t="s">
        <v>18</v>
      </c>
      <c r="L1099" t="s">
        <v>23</v>
      </c>
      <c r="M1099" t="s">
        <v>73</v>
      </c>
    </row>
    <row r="1100" spans="1:13" x14ac:dyDescent="0.2">
      <c r="A1100">
        <v>1099</v>
      </c>
      <c r="B1100" t="s">
        <v>64</v>
      </c>
      <c r="C1100" s="2">
        <v>45007</v>
      </c>
      <c r="D1100" t="s">
        <v>25</v>
      </c>
      <c r="E1100" t="s">
        <v>25</v>
      </c>
      <c r="F1100" t="s">
        <v>44</v>
      </c>
      <c r="H1100">
        <v>4</v>
      </c>
      <c r="I1100">
        <v>0.2</v>
      </c>
      <c r="J1100">
        <v>239.84</v>
      </c>
      <c r="K1100" t="s">
        <v>18</v>
      </c>
      <c r="L1100" t="s">
        <v>28</v>
      </c>
      <c r="M1100" t="s">
        <v>25</v>
      </c>
    </row>
    <row r="1101" spans="1:13" x14ac:dyDescent="0.2">
      <c r="A1101">
        <v>1100</v>
      </c>
      <c r="B1101" t="s">
        <v>46</v>
      </c>
      <c r="C1101" s="2">
        <v>45046</v>
      </c>
      <c r="D1101" t="s">
        <v>47</v>
      </c>
      <c r="E1101" t="s">
        <v>48</v>
      </c>
      <c r="F1101" t="s">
        <v>21</v>
      </c>
      <c r="G1101" t="s">
        <v>22</v>
      </c>
      <c r="H1101">
        <v>3</v>
      </c>
      <c r="I1101">
        <v>0.15</v>
      </c>
      <c r="J1101">
        <v>127.37</v>
      </c>
      <c r="K1101" t="s">
        <v>27</v>
      </c>
      <c r="L1101" t="s">
        <v>23</v>
      </c>
      <c r="M1101">
        <v>0</v>
      </c>
    </row>
    <row r="1102" spans="1:13" x14ac:dyDescent="0.2">
      <c r="A1102">
        <v>1101</v>
      </c>
      <c r="B1102" t="s">
        <v>81</v>
      </c>
      <c r="C1102" s="1">
        <v>45610</v>
      </c>
      <c r="D1102" t="s">
        <v>82</v>
      </c>
      <c r="E1102" t="s">
        <v>15</v>
      </c>
      <c r="F1102" t="s">
        <v>16</v>
      </c>
      <c r="G1102" t="s">
        <v>17</v>
      </c>
      <c r="H1102">
        <v>3</v>
      </c>
      <c r="I1102">
        <v>0</v>
      </c>
      <c r="J1102">
        <v>239.85</v>
      </c>
      <c r="K1102" t="s">
        <v>18</v>
      </c>
      <c r="L1102" t="s">
        <v>49</v>
      </c>
      <c r="M1102" t="s">
        <v>73</v>
      </c>
    </row>
    <row r="1103" spans="1:13" x14ac:dyDescent="0.2">
      <c r="A1103">
        <v>1102</v>
      </c>
      <c r="B1103" t="s">
        <v>74</v>
      </c>
      <c r="C1103" s="2">
        <v>44993</v>
      </c>
      <c r="D1103" t="s">
        <v>75</v>
      </c>
      <c r="E1103" t="s">
        <v>76</v>
      </c>
      <c r="F1103" t="s">
        <v>44</v>
      </c>
      <c r="H1103">
        <v>5</v>
      </c>
      <c r="I1103">
        <v>0.25</v>
      </c>
      <c r="J1103">
        <v>168.56</v>
      </c>
      <c r="K1103" t="s">
        <v>36</v>
      </c>
      <c r="L1103" t="s">
        <v>63</v>
      </c>
      <c r="M1103" t="s">
        <v>77</v>
      </c>
    </row>
    <row r="1104" spans="1:13" x14ac:dyDescent="0.2">
      <c r="A1104">
        <v>1103</v>
      </c>
      <c r="B1104" t="s">
        <v>61</v>
      </c>
      <c r="C1104" s="2">
        <v>45423</v>
      </c>
      <c r="D1104" t="s">
        <v>62</v>
      </c>
      <c r="E1104" t="s">
        <v>33</v>
      </c>
      <c r="F1104" t="s">
        <v>16</v>
      </c>
      <c r="G1104" t="s">
        <v>17</v>
      </c>
      <c r="H1104">
        <v>2</v>
      </c>
      <c r="I1104">
        <v>0.25</v>
      </c>
      <c r="J1104">
        <v>52.48</v>
      </c>
      <c r="K1104" t="s">
        <v>27</v>
      </c>
      <c r="L1104" t="s">
        <v>30</v>
      </c>
      <c r="M1104">
        <v>0</v>
      </c>
    </row>
    <row r="1105" spans="1:13" x14ac:dyDescent="0.2">
      <c r="A1105">
        <v>1104</v>
      </c>
      <c r="B1105" t="s">
        <v>81</v>
      </c>
      <c r="C1105" s="1">
        <v>44995</v>
      </c>
      <c r="D1105" t="s">
        <v>82</v>
      </c>
      <c r="E1105" t="s">
        <v>15</v>
      </c>
      <c r="F1105" t="s">
        <v>53</v>
      </c>
      <c r="G1105" t="s">
        <v>54</v>
      </c>
      <c r="H1105">
        <v>5</v>
      </c>
      <c r="I1105">
        <v>0</v>
      </c>
      <c r="J1105">
        <v>399.75</v>
      </c>
      <c r="K1105" t="s">
        <v>27</v>
      </c>
      <c r="L1105" t="s">
        <v>41</v>
      </c>
      <c r="M1105" t="s">
        <v>73</v>
      </c>
    </row>
    <row r="1106" spans="1:13" x14ac:dyDescent="0.2">
      <c r="A1106">
        <v>1105</v>
      </c>
      <c r="B1106" t="s">
        <v>56</v>
      </c>
      <c r="C1106" s="2">
        <v>44983</v>
      </c>
      <c r="D1106" t="s">
        <v>57</v>
      </c>
      <c r="E1106" t="s">
        <v>48</v>
      </c>
      <c r="F1106" t="s">
        <v>44</v>
      </c>
      <c r="H1106">
        <v>2</v>
      </c>
      <c r="I1106">
        <v>0</v>
      </c>
      <c r="J1106">
        <v>170</v>
      </c>
      <c r="K1106" t="s">
        <v>29</v>
      </c>
      <c r="L1106" t="s">
        <v>55</v>
      </c>
      <c r="M1106">
        <v>1</v>
      </c>
    </row>
    <row r="1107" spans="1:13" x14ac:dyDescent="0.2">
      <c r="A1107">
        <v>1106</v>
      </c>
      <c r="B1107" t="s">
        <v>19</v>
      </c>
      <c r="C1107" s="2">
        <v>45012</v>
      </c>
      <c r="D1107" t="s">
        <v>20</v>
      </c>
      <c r="E1107" t="s">
        <v>15</v>
      </c>
      <c r="F1107" t="s">
        <v>16</v>
      </c>
      <c r="G1107" t="s">
        <v>17</v>
      </c>
      <c r="H1107">
        <v>3</v>
      </c>
      <c r="I1107">
        <v>0.25</v>
      </c>
      <c r="J1107">
        <v>202.39</v>
      </c>
      <c r="K1107" t="s">
        <v>27</v>
      </c>
      <c r="L1107" t="s">
        <v>45</v>
      </c>
      <c r="M1107" t="b">
        <v>1</v>
      </c>
    </row>
    <row r="1108" spans="1:13" x14ac:dyDescent="0.2">
      <c r="A1108">
        <v>1107</v>
      </c>
      <c r="B1108" t="s">
        <v>56</v>
      </c>
      <c r="C1108" s="2">
        <v>45068</v>
      </c>
      <c r="D1108" t="s">
        <v>57</v>
      </c>
      <c r="E1108" t="s">
        <v>48</v>
      </c>
      <c r="F1108" t="s">
        <v>16</v>
      </c>
      <c r="G1108" t="s">
        <v>17</v>
      </c>
      <c r="H1108">
        <v>4</v>
      </c>
      <c r="I1108">
        <v>0.1</v>
      </c>
      <c r="J1108">
        <v>306</v>
      </c>
      <c r="K1108" t="s">
        <v>80</v>
      </c>
      <c r="L1108" t="s">
        <v>30</v>
      </c>
      <c r="M1108">
        <v>1</v>
      </c>
    </row>
    <row r="1109" spans="1:13" x14ac:dyDescent="0.2">
      <c r="A1109">
        <v>1108</v>
      </c>
      <c r="B1109" t="s">
        <v>24</v>
      </c>
      <c r="C1109" s="1">
        <v>45192</v>
      </c>
      <c r="D1109" t="s">
        <v>87</v>
      </c>
      <c r="E1109" t="s">
        <v>39</v>
      </c>
      <c r="G1109" t="s">
        <v>25</v>
      </c>
      <c r="H1109">
        <v>1</v>
      </c>
      <c r="I1109">
        <v>0</v>
      </c>
      <c r="J1109">
        <v>44.95</v>
      </c>
      <c r="K1109" t="s">
        <v>27</v>
      </c>
      <c r="L1109" t="s">
        <v>23</v>
      </c>
      <c r="M1109" t="b">
        <v>1</v>
      </c>
    </row>
    <row r="1110" spans="1:13" x14ac:dyDescent="0.2">
      <c r="A1110">
        <v>1109</v>
      </c>
      <c r="B1110" t="s">
        <v>42</v>
      </c>
      <c r="C1110" s="2">
        <v>45531</v>
      </c>
      <c r="D1110" t="s">
        <v>43</v>
      </c>
      <c r="E1110" t="s">
        <v>15</v>
      </c>
      <c r="F1110" t="s">
        <v>21</v>
      </c>
      <c r="G1110" t="s">
        <v>22</v>
      </c>
      <c r="H1110">
        <v>1</v>
      </c>
      <c r="I1110">
        <v>0</v>
      </c>
      <c r="J1110">
        <v>129</v>
      </c>
      <c r="K1110" t="s">
        <v>36</v>
      </c>
      <c r="L1110" t="s">
        <v>41</v>
      </c>
      <c r="M1110" t="b">
        <v>1</v>
      </c>
    </row>
    <row r="1111" spans="1:13" x14ac:dyDescent="0.2">
      <c r="A1111">
        <v>1110</v>
      </c>
      <c r="B1111" t="s">
        <v>58</v>
      </c>
      <c r="C1111" s="2">
        <v>45657</v>
      </c>
      <c r="D1111" t="s">
        <v>25</v>
      </c>
      <c r="E1111" t="s">
        <v>25</v>
      </c>
      <c r="F1111" t="s">
        <v>44</v>
      </c>
      <c r="H1111">
        <v>3</v>
      </c>
      <c r="I1111">
        <v>0</v>
      </c>
      <c r="J1111">
        <v>179.85</v>
      </c>
      <c r="K1111" t="s">
        <v>18</v>
      </c>
      <c r="L1111" t="s">
        <v>49</v>
      </c>
      <c r="M1111" t="s">
        <v>25</v>
      </c>
    </row>
    <row r="1112" spans="1:13" x14ac:dyDescent="0.2">
      <c r="A1112">
        <v>1111</v>
      </c>
      <c r="B1112" t="s">
        <v>83</v>
      </c>
      <c r="C1112" s="2">
        <v>45313</v>
      </c>
      <c r="D1112" t="s">
        <v>84</v>
      </c>
      <c r="E1112" t="s">
        <v>48</v>
      </c>
      <c r="F1112" t="s">
        <v>66</v>
      </c>
      <c r="G1112" t="s">
        <v>67</v>
      </c>
      <c r="H1112">
        <v>3</v>
      </c>
      <c r="I1112">
        <v>0.05</v>
      </c>
      <c r="J1112">
        <v>142.36000000000001</v>
      </c>
      <c r="K1112" t="s">
        <v>36</v>
      </c>
      <c r="L1112" t="s">
        <v>49</v>
      </c>
      <c r="M1112">
        <v>0</v>
      </c>
    </row>
    <row r="1113" spans="1:13" x14ac:dyDescent="0.2">
      <c r="A1113">
        <v>1112</v>
      </c>
      <c r="B1113" t="s">
        <v>50</v>
      </c>
      <c r="C1113" s="1">
        <v>45181</v>
      </c>
      <c r="D1113" t="s">
        <v>25</v>
      </c>
      <c r="E1113" t="s">
        <v>25</v>
      </c>
      <c r="F1113" t="s">
        <v>21</v>
      </c>
      <c r="G1113" t="s">
        <v>22</v>
      </c>
      <c r="H1113">
        <v>5</v>
      </c>
      <c r="I1113">
        <v>0.2</v>
      </c>
      <c r="J1113">
        <v>279.8</v>
      </c>
      <c r="K1113" t="s">
        <v>80</v>
      </c>
      <c r="M1113" t="s">
        <v>25</v>
      </c>
    </row>
    <row r="1114" spans="1:13" x14ac:dyDescent="0.2">
      <c r="A1114">
        <v>1113</v>
      </c>
      <c r="B1114" t="s">
        <v>74</v>
      </c>
      <c r="C1114" s="1">
        <v>45175</v>
      </c>
      <c r="D1114" t="s">
        <v>75</v>
      </c>
      <c r="E1114" t="s">
        <v>76</v>
      </c>
      <c r="F1114" t="s">
        <v>16</v>
      </c>
      <c r="G1114" t="s">
        <v>17</v>
      </c>
      <c r="H1114">
        <v>2</v>
      </c>
      <c r="I1114">
        <v>0</v>
      </c>
      <c r="J1114">
        <v>89.9</v>
      </c>
      <c r="K1114" t="s">
        <v>80</v>
      </c>
      <c r="L1114" t="s">
        <v>49</v>
      </c>
      <c r="M1114" t="s">
        <v>77</v>
      </c>
    </row>
    <row r="1115" spans="1:13" x14ac:dyDescent="0.2">
      <c r="A1115">
        <v>1114</v>
      </c>
      <c r="B1115" t="s">
        <v>71</v>
      </c>
      <c r="C1115" s="2">
        <v>45331</v>
      </c>
      <c r="D1115" t="s">
        <v>25</v>
      </c>
      <c r="E1115" t="s">
        <v>25</v>
      </c>
      <c r="F1115" t="s">
        <v>34</v>
      </c>
      <c r="G1115" t="s">
        <v>35</v>
      </c>
      <c r="H1115">
        <v>1</v>
      </c>
      <c r="I1115">
        <v>0.2</v>
      </c>
      <c r="J1115">
        <v>47.96</v>
      </c>
      <c r="K1115" t="s">
        <v>52</v>
      </c>
      <c r="L1115" t="s">
        <v>45</v>
      </c>
      <c r="M1115" t="s">
        <v>25</v>
      </c>
    </row>
    <row r="1116" spans="1:13" x14ac:dyDescent="0.2">
      <c r="A1116">
        <v>1115</v>
      </c>
      <c r="B1116" t="s">
        <v>37</v>
      </c>
      <c r="C1116" s="1">
        <v>45541</v>
      </c>
      <c r="D1116" t="s">
        <v>38</v>
      </c>
      <c r="E1116" t="s">
        <v>39</v>
      </c>
      <c r="F1116" t="s">
        <v>16</v>
      </c>
      <c r="G1116" t="s">
        <v>17</v>
      </c>
      <c r="H1116">
        <v>1</v>
      </c>
      <c r="I1116">
        <v>0.05</v>
      </c>
      <c r="J1116">
        <v>61.7</v>
      </c>
      <c r="K1116" t="s">
        <v>36</v>
      </c>
      <c r="L1116" t="s">
        <v>49</v>
      </c>
      <c r="M1116">
        <v>1</v>
      </c>
    </row>
    <row r="1117" spans="1:13" x14ac:dyDescent="0.2">
      <c r="A1117">
        <v>1116</v>
      </c>
      <c r="B1117" t="s">
        <v>31</v>
      </c>
      <c r="C1117" s="1">
        <v>45496</v>
      </c>
      <c r="D1117" t="s">
        <v>32</v>
      </c>
      <c r="E1117" t="s">
        <v>33</v>
      </c>
      <c r="F1117" t="s">
        <v>40</v>
      </c>
      <c r="G1117" t="s">
        <v>17</v>
      </c>
      <c r="H1117">
        <v>2</v>
      </c>
      <c r="J1117">
        <v>159.9</v>
      </c>
      <c r="K1117" t="s">
        <v>52</v>
      </c>
      <c r="L1117" t="s">
        <v>30</v>
      </c>
      <c r="M1117" t="b">
        <v>0</v>
      </c>
    </row>
    <row r="1118" spans="1:13" x14ac:dyDescent="0.2">
      <c r="A1118">
        <v>1117</v>
      </c>
      <c r="B1118" t="s">
        <v>46</v>
      </c>
      <c r="C1118" s="2">
        <v>45592</v>
      </c>
      <c r="D1118" t="s">
        <v>47</v>
      </c>
      <c r="E1118" t="s">
        <v>48</v>
      </c>
      <c r="F1118" t="s">
        <v>53</v>
      </c>
      <c r="G1118" t="s">
        <v>54</v>
      </c>
      <c r="H1118">
        <v>5</v>
      </c>
      <c r="I1118">
        <v>0</v>
      </c>
      <c r="J1118">
        <v>249.75</v>
      </c>
      <c r="K1118" t="s">
        <v>52</v>
      </c>
      <c r="L1118" t="s">
        <v>28</v>
      </c>
      <c r="M1118">
        <v>0</v>
      </c>
    </row>
    <row r="1119" spans="1:13" x14ac:dyDescent="0.2">
      <c r="A1119">
        <v>1118</v>
      </c>
      <c r="B1119" t="s">
        <v>78</v>
      </c>
      <c r="C1119" s="1">
        <v>45481</v>
      </c>
      <c r="D1119" t="s">
        <v>79</v>
      </c>
      <c r="E1119" t="s">
        <v>48</v>
      </c>
      <c r="G1119" t="s">
        <v>25</v>
      </c>
      <c r="H1119">
        <v>2</v>
      </c>
      <c r="I1119">
        <v>0.1</v>
      </c>
      <c r="J1119">
        <v>71.91</v>
      </c>
      <c r="K1119" t="s">
        <v>80</v>
      </c>
      <c r="L1119" t="s">
        <v>23</v>
      </c>
      <c r="M1119">
        <v>1</v>
      </c>
    </row>
    <row r="1120" spans="1:13" x14ac:dyDescent="0.2">
      <c r="A1120">
        <v>1119</v>
      </c>
      <c r="B1120" t="s">
        <v>19</v>
      </c>
      <c r="C1120" s="2">
        <v>45312</v>
      </c>
      <c r="D1120" t="s">
        <v>20</v>
      </c>
      <c r="E1120" t="s">
        <v>15</v>
      </c>
      <c r="F1120" t="s">
        <v>16</v>
      </c>
      <c r="G1120" t="s">
        <v>17</v>
      </c>
      <c r="H1120">
        <v>3</v>
      </c>
      <c r="I1120">
        <v>0</v>
      </c>
      <c r="J1120">
        <v>269.85000000000002</v>
      </c>
      <c r="K1120" t="s">
        <v>36</v>
      </c>
      <c r="L1120" t="s">
        <v>28</v>
      </c>
      <c r="M1120" t="b">
        <v>1</v>
      </c>
    </row>
    <row r="1121" spans="1:13" x14ac:dyDescent="0.2">
      <c r="A1121">
        <v>1120</v>
      </c>
      <c r="B1121" t="s">
        <v>50</v>
      </c>
      <c r="C1121" s="2">
        <v>45019</v>
      </c>
      <c r="D1121" t="s">
        <v>51</v>
      </c>
      <c r="E1121" t="s">
        <v>15</v>
      </c>
      <c r="F1121" t="s">
        <v>44</v>
      </c>
      <c r="H1121">
        <v>5</v>
      </c>
      <c r="I1121">
        <v>0.2</v>
      </c>
      <c r="J1121">
        <v>279.8</v>
      </c>
      <c r="K1121" t="s">
        <v>36</v>
      </c>
      <c r="L1121" t="s">
        <v>30</v>
      </c>
      <c r="M1121">
        <v>0</v>
      </c>
    </row>
    <row r="1122" spans="1:13" x14ac:dyDescent="0.2">
      <c r="A1122">
        <v>1121</v>
      </c>
      <c r="B1122" t="s">
        <v>83</v>
      </c>
      <c r="C1122" s="2">
        <v>44972</v>
      </c>
      <c r="D1122" t="s">
        <v>84</v>
      </c>
      <c r="E1122" t="s">
        <v>48</v>
      </c>
      <c r="F1122" t="s">
        <v>26</v>
      </c>
      <c r="G1122" t="s">
        <v>22</v>
      </c>
      <c r="H1122">
        <v>3</v>
      </c>
      <c r="I1122">
        <v>0.05</v>
      </c>
      <c r="J1122">
        <v>142.36000000000001</v>
      </c>
      <c r="K1122" t="s">
        <v>36</v>
      </c>
      <c r="L1122" t="s">
        <v>28</v>
      </c>
      <c r="M1122">
        <v>0</v>
      </c>
    </row>
    <row r="1123" spans="1:13" x14ac:dyDescent="0.2">
      <c r="A1123">
        <v>1122</v>
      </c>
      <c r="B1123" t="s">
        <v>37</v>
      </c>
      <c r="C1123" s="1">
        <v>45653</v>
      </c>
      <c r="D1123" t="s">
        <v>38</v>
      </c>
      <c r="E1123" t="s">
        <v>39</v>
      </c>
      <c r="F1123" t="s">
        <v>21</v>
      </c>
      <c r="G1123" t="s">
        <v>22</v>
      </c>
      <c r="H1123">
        <v>4</v>
      </c>
      <c r="I1123">
        <v>0.15</v>
      </c>
      <c r="J1123">
        <v>220.83</v>
      </c>
      <c r="K1123" t="s">
        <v>29</v>
      </c>
      <c r="M1123">
        <v>1</v>
      </c>
    </row>
    <row r="1124" spans="1:13" x14ac:dyDescent="0.2">
      <c r="A1124">
        <v>1123</v>
      </c>
      <c r="B1124" t="s">
        <v>61</v>
      </c>
      <c r="C1124" s="2">
        <v>45227</v>
      </c>
      <c r="D1124" t="s">
        <v>62</v>
      </c>
      <c r="E1124" t="s">
        <v>33</v>
      </c>
      <c r="F1124" t="s">
        <v>53</v>
      </c>
      <c r="G1124" t="s">
        <v>54</v>
      </c>
      <c r="H1124">
        <v>3</v>
      </c>
      <c r="I1124">
        <v>0.1</v>
      </c>
      <c r="J1124">
        <v>94.47</v>
      </c>
      <c r="K1124" t="s">
        <v>27</v>
      </c>
      <c r="L1124" t="s">
        <v>45</v>
      </c>
      <c r="M1124">
        <v>0</v>
      </c>
    </row>
    <row r="1125" spans="1:13" x14ac:dyDescent="0.2">
      <c r="A1125">
        <v>1124</v>
      </c>
      <c r="B1125" t="s">
        <v>85</v>
      </c>
      <c r="C1125" s="2">
        <v>45249</v>
      </c>
      <c r="D1125" t="s">
        <v>86</v>
      </c>
      <c r="E1125" t="s">
        <v>76</v>
      </c>
      <c r="F1125" t="s">
        <v>40</v>
      </c>
      <c r="G1125" t="s">
        <v>17</v>
      </c>
      <c r="H1125">
        <v>3</v>
      </c>
      <c r="I1125">
        <v>0</v>
      </c>
      <c r="J1125">
        <v>269.85000000000002</v>
      </c>
      <c r="K1125" t="s">
        <v>52</v>
      </c>
      <c r="L1125" t="s">
        <v>23</v>
      </c>
      <c r="M1125" t="s">
        <v>73</v>
      </c>
    </row>
    <row r="1126" spans="1:13" x14ac:dyDescent="0.2">
      <c r="A1126">
        <v>1125</v>
      </c>
      <c r="B1126" t="s">
        <v>37</v>
      </c>
      <c r="C1126" s="2">
        <v>45175</v>
      </c>
      <c r="D1126" t="s">
        <v>38</v>
      </c>
      <c r="E1126" t="s">
        <v>39</v>
      </c>
      <c r="F1126" t="s">
        <v>34</v>
      </c>
      <c r="G1126" t="s">
        <v>35</v>
      </c>
      <c r="H1126">
        <v>5</v>
      </c>
      <c r="I1126">
        <v>0</v>
      </c>
      <c r="J1126">
        <v>324.75</v>
      </c>
      <c r="K1126" t="s">
        <v>18</v>
      </c>
      <c r="L1126" t="s">
        <v>28</v>
      </c>
      <c r="M1126">
        <v>1</v>
      </c>
    </row>
    <row r="1127" spans="1:13" x14ac:dyDescent="0.2">
      <c r="A1127">
        <v>1126</v>
      </c>
      <c r="B1127" t="s">
        <v>74</v>
      </c>
      <c r="C1127" s="1">
        <v>44936</v>
      </c>
      <c r="D1127" t="s">
        <v>75</v>
      </c>
      <c r="E1127" t="s">
        <v>76</v>
      </c>
      <c r="F1127" t="s">
        <v>16</v>
      </c>
      <c r="G1127" t="s">
        <v>17</v>
      </c>
      <c r="H1127">
        <v>3</v>
      </c>
      <c r="I1127">
        <v>0.15</v>
      </c>
      <c r="J1127">
        <v>114.62</v>
      </c>
      <c r="K1127" t="s">
        <v>27</v>
      </c>
      <c r="L1127" t="s">
        <v>63</v>
      </c>
      <c r="M1127" t="s">
        <v>77</v>
      </c>
    </row>
    <row r="1128" spans="1:13" x14ac:dyDescent="0.2">
      <c r="A1128">
        <v>1127</v>
      </c>
      <c r="B1128" t="s">
        <v>83</v>
      </c>
      <c r="C1128" s="2">
        <v>45554</v>
      </c>
      <c r="D1128" t="s">
        <v>84</v>
      </c>
      <c r="E1128" t="s">
        <v>48</v>
      </c>
      <c r="F1128" t="s">
        <v>44</v>
      </c>
      <c r="H1128">
        <v>3</v>
      </c>
      <c r="I1128">
        <v>0.2</v>
      </c>
      <c r="J1128">
        <v>119.88</v>
      </c>
      <c r="K1128" t="s">
        <v>52</v>
      </c>
      <c r="L1128" t="s">
        <v>45</v>
      </c>
      <c r="M1128">
        <v>0</v>
      </c>
    </row>
    <row r="1129" spans="1:13" x14ac:dyDescent="0.2">
      <c r="A1129">
        <v>1128</v>
      </c>
      <c r="B1129" t="s">
        <v>56</v>
      </c>
      <c r="C1129" s="2">
        <v>45476</v>
      </c>
      <c r="D1129" t="s">
        <v>57</v>
      </c>
      <c r="E1129" t="s">
        <v>48</v>
      </c>
      <c r="F1129" t="s">
        <v>53</v>
      </c>
      <c r="G1129" t="s">
        <v>54</v>
      </c>
      <c r="H1129">
        <v>5</v>
      </c>
      <c r="I1129">
        <v>0.2</v>
      </c>
      <c r="J1129">
        <v>340</v>
      </c>
      <c r="K1129" t="s">
        <v>27</v>
      </c>
      <c r="L1129" t="s">
        <v>23</v>
      </c>
      <c r="M1129">
        <v>1</v>
      </c>
    </row>
    <row r="1130" spans="1:13" x14ac:dyDescent="0.2">
      <c r="A1130">
        <v>1129</v>
      </c>
      <c r="B1130" t="s">
        <v>24</v>
      </c>
      <c r="C1130" s="2">
        <v>45345</v>
      </c>
      <c r="D1130" t="s">
        <v>87</v>
      </c>
      <c r="E1130" t="s">
        <v>39</v>
      </c>
      <c r="F1130" t="s">
        <v>40</v>
      </c>
      <c r="G1130" t="s">
        <v>17</v>
      </c>
      <c r="H1130">
        <v>1</v>
      </c>
      <c r="I1130">
        <v>0.1</v>
      </c>
      <c r="J1130">
        <v>40.46</v>
      </c>
      <c r="K1130" t="s">
        <v>18</v>
      </c>
      <c r="L1130" t="s">
        <v>41</v>
      </c>
      <c r="M1130" t="b">
        <v>1</v>
      </c>
    </row>
    <row r="1131" spans="1:13" x14ac:dyDescent="0.2">
      <c r="A1131">
        <v>1130</v>
      </c>
      <c r="B1131" t="s">
        <v>88</v>
      </c>
      <c r="C1131" s="1">
        <v>45529</v>
      </c>
      <c r="D1131" t="s">
        <v>89</v>
      </c>
      <c r="E1131" t="s">
        <v>33</v>
      </c>
      <c r="F1131" t="s">
        <v>44</v>
      </c>
      <c r="H1131">
        <v>2</v>
      </c>
      <c r="I1131">
        <v>0.2</v>
      </c>
      <c r="J1131">
        <v>316.8</v>
      </c>
      <c r="K1131" t="s">
        <v>36</v>
      </c>
      <c r="L1131" t="s">
        <v>49</v>
      </c>
      <c r="M1131" t="b">
        <v>0</v>
      </c>
    </row>
    <row r="1132" spans="1:13" x14ac:dyDescent="0.2">
      <c r="A1132">
        <v>1131</v>
      </c>
      <c r="B1132" t="s">
        <v>50</v>
      </c>
      <c r="C1132" s="2">
        <v>45259</v>
      </c>
      <c r="D1132" t="s">
        <v>51</v>
      </c>
      <c r="E1132" t="s">
        <v>15</v>
      </c>
      <c r="F1132" t="s">
        <v>66</v>
      </c>
      <c r="G1132" t="s">
        <v>67</v>
      </c>
      <c r="H1132">
        <v>2</v>
      </c>
      <c r="I1132" t="s">
        <v>60</v>
      </c>
      <c r="J1132">
        <v>139.9</v>
      </c>
      <c r="K1132" t="s">
        <v>80</v>
      </c>
      <c r="L1132" t="s">
        <v>63</v>
      </c>
      <c r="M1132">
        <v>0</v>
      </c>
    </row>
    <row r="1133" spans="1:13" x14ac:dyDescent="0.2">
      <c r="A1133">
        <v>1132</v>
      </c>
      <c r="B1133" t="s">
        <v>37</v>
      </c>
      <c r="C1133" s="1">
        <v>45084</v>
      </c>
      <c r="D1133" t="s">
        <v>38</v>
      </c>
      <c r="E1133" t="s">
        <v>39</v>
      </c>
      <c r="F1133" t="s">
        <v>66</v>
      </c>
      <c r="G1133" t="s">
        <v>67</v>
      </c>
      <c r="H1133">
        <v>1</v>
      </c>
      <c r="I1133">
        <v>0</v>
      </c>
      <c r="J1133">
        <v>64.95</v>
      </c>
      <c r="K1133" t="s">
        <v>18</v>
      </c>
      <c r="L1133" t="s">
        <v>45</v>
      </c>
      <c r="M1133">
        <v>1</v>
      </c>
    </row>
    <row r="1134" spans="1:13" x14ac:dyDescent="0.2">
      <c r="A1134">
        <v>1133</v>
      </c>
      <c r="B1134" t="s">
        <v>24</v>
      </c>
      <c r="C1134" s="2">
        <v>45607</v>
      </c>
      <c r="D1134" t="s">
        <v>87</v>
      </c>
      <c r="E1134" t="s">
        <v>39</v>
      </c>
      <c r="F1134" t="s">
        <v>16</v>
      </c>
      <c r="G1134" t="s">
        <v>17</v>
      </c>
      <c r="H1134">
        <v>4</v>
      </c>
      <c r="I1134">
        <v>0.2</v>
      </c>
      <c r="J1134">
        <v>143.84</v>
      </c>
      <c r="K1134" t="s">
        <v>18</v>
      </c>
      <c r="L1134" t="s">
        <v>63</v>
      </c>
      <c r="M1134" t="b">
        <v>1</v>
      </c>
    </row>
    <row r="1135" spans="1:13" x14ac:dyDescent="0.2">
      <c r="A1135">
        <v>1134</v>
      </c>
      <c r="B1135" t="s">
        <v>83</v>
      </c>
      <c r="C1135" s="2">
        <v>45548</v>
      </c>
      <c r="D1135" t="s">
        <v>84</v>
      </c>
      <c r="E1135" t="s">
        <v>48</v>
      </c>
      <c r="F1135" t="s">
        <v>16</v>
      </c>
      <c r="G1135" t="s">
        <v>17</v>
      </c>
      <c r="H1135">
        <v>3</v>
      </c>
      <c r="I1135">
        <v>0</v>
      </c>
      <c r="J1135">
        <v>149.85</v>
      </c>
      <c r="K1135" t="s">
        <v>27</v>
      </c>
      <c r="L1135" t="s">
        <v>23</v>
      </c>
      <c r="M1135">
        <v>0</v>
      </c>
    </row>
    <row r="1136" spans="1:13" x14ac:dyDescent="0.2">
      <c r="A1136">
        <v>1135</v>
      </c>
      <c r="B1136" t="s">
        <v>56</v>
      </c>
      <c r="C1136" s="2">
        <v>45161</v>
      </c>
      <c r="D1136" t="s">
        <v>57</v>
      </c>
      <c r="E1136" t="s">
        <v>48</v>
      </c>
      <c r="F1136" t="s">
        <v>40</v>
      </c>
      <c r="G1136" t="s">
        <v>17</v>
      </c>
      <c r="H1136">
        <v>5</v>
      </c>
      <c r="I1136">
        <v>0</v>
      </c>
      <c r="J1136">
        <v>425</v>
      </c>
      <c r="K1136" t="s">
        <v>80</v>
      </c>
      <c r="L1136" t="s">
        <v>30</v>
      </c>
      <c r="M1136">
        <v>1</v>
      </c>
    </row>
    <row r="1137" spans="1:13" x14ac:dyDescent="0.2">
      <c r="A1137">
        <v>1136</v>
      </c>
      <c r="B1137" t="s">
        <v>24</v>
      </c>
      <c r="C1137" s="2">
        <v>45280</v>
      </c>
      <c r="D1137" t="s">
        <v>25</v>
      </c>
      <c r="E1137" t="s">
        <v>25</v>
      </c>
      <c r="F1137" t="s">
        <v>21</v>
      </c>
      <c r="G1137" t="s">
        <v>22</v>
      </c>
      <c r="H1137">
        <v>4</v>
      </c>
      <c r="I1137">
        <v>0.1</v>
      </c>
      <c r="J1137">
        <v>161.82</v>
      </c>
      <c r="K1137" t="s">
        <v>29</v>
      </c>
      <c r="L1137" t="s">
        <v>55</v>
      </c>
      <c r="M1137" t="s">
        <v>25</v>
      </c>
    </row>
    <row r="1138" spans="1:13" x14ac:dyDescent="0.2">
      <c r="A1138">
        <v>1137</v>
      </c>
      <c r="B1138" t="s">
        <v>42</v>
      </c>
      <c r="C1138" s="2">
        <v>45492</v>
      </c>
      <c r="D1138" t="s">
        <v>43</v>
      </c>
      <c r="E1138" t="s">
        <v>15</v>
      </c>
      <c r="G1138" t="s">
        <v>25</v>
      </c>
      <c r="H1138">
        <v>4</v>
      </c>
      <c r="I1138">
        <v>0.05</v>
      </c>
      <c r="J1138">
        <v>490.2</v>
      </c>
      <c r="K1138" t="s">
        <v>36</v>
      </c>
      <c r="L1138" t="s">
        <v>41</v>
      </c>
      <c r="M1138" t="b">
        <v>1</v>
      </c>
    </row>
    <row r="1139" spans="1:13" x14ac:dyDescent="0.2">
      <c r="A1139">
        <v>1138</v>
      </c>
      <c r="B1139" t="s">
        <v>78</v>
      </c>
      <c r="C1139" s="1">
        <v>45508</v>
      </c>
      <c r="D1139" t="s">
        <v>79</v>
      </c>
      <c r="E1139" t="s">
        <v>48</v>
      </c>
      <c r="F1139" t="s">
        <v>44</v>
      </c>
      <c r="H1139">
        <v>5</v>
      </c>
      <c r="I1139">
        <v>0.1</v>
      </c>
      <c r="J1139">
        <v>179.78</v>
      </c>
      <c r="K1139" t="s">
        <v>80</v>
      </c>
      <c r="M1139">
        <v>1</v>
      </c>
    </row>
    <row r="1140" spans="1:13" x14ac:dyDescent="0.2">
      <c r="A1140">
        <v>1139</v>
      </c>
      <c r="B1140" t="s">
        <v>83</v>
      </c>
      <c r="C1140" s="2">
        <v>45207</v>
      </c>
      <c r="D1140" t="s">
        <v>84</v>
      </c>
      <c r="E1140" t="s">
        <v>48</v>
      </c>
      <c r="F1140" t="s">
        <v>40</v>
      </c>
      <c r="G1140" t="s">
        <v>17</v>
      </c>
      <c r="H1140">
        <v>5</v>
      </c>
      <c r="I1140">
        <v>0</v>
      </c>
      <c r="J1140">
        <v>249.75</v>
      </c>
      <c r="K1140" t="s">
        <v>27</v>
      </c>
      <c r="L1140" t="s">
        <v>41</v>
      </c>
      <c r="M1140">
        <v>0</v>
      </c>
    </row>
    <row r="1141" spans="1:13" x14ac:dyDescent="0.2">
      <c r="A1141">
        <v>1140</v>
      </c>
      <c r="B1141" t="s">
        <v>31</v>
      </c>
      <c r="C1141" s="2">
        <v>45591</v>
      </c>
      <c r="D1141" t="s">
        <v>32</v>
      </c>
      <c r="E1141" t="s">
        <v>33</v>
      </c>
      <c r="F1141" t="s">
        <v>53</v>
      </c>
      <c r="G1141" t="s">
        <v>54</v>
      </c>
      <c r="H1141">
        <v>3</v>
      </c>
      <c r="I1141">
        <v>0</v>
      </c>
      <c r="J1141">
        <v>239.85</v>
      </c>
      <c r="K1141" t="s">
        <v>80</v>
      </c>
      <c r="L1141" t="s">
        <v>63</v>
      </c>
      <c r="M1141" t="b">
        <v>0</v>
      </c>
    </row>
    <row r="1142" spans="1:13" x14ac:dyDescent="0.2">
      <c r="A1142">
        <v>1141</v>
      </c>
      <c r="B1142" t="s">
        <v>13</v>
      </c>
      <c r="C1142" s="1">
        <v>45456</v>
      </c>
      <c r="D1142" t="s">
        <v>25</v>
      </c>
      <c r="E1142" t="s">
        <v>25</v>
      </c>
      <c r="F1142" t="s">
        <v>44</v>
      </c>
      <c r="H1142">
        <v>4</v>
      </c>
      <c r="I1142">
        <v>0</v>
      </c>
      <c r="J1142">
        <v>79.959999999999994</v>
      </c>
      <c r="K1142" t="s">
        <v>18</v>
      </c>
      <c r="L1142" t="s">
        <v>63</v>
      </c>
      <c r="M1142" t="s">
        <v>25</v>
      </c>
    </row>
    <row r="1143" spans="1:13" x14ac:dyDescent="0.2">
      <c r="A1143">
        <v>1142</v>
      </c>
      <c r="B1143" t="s">
        <v>13</v>
      </c>
      <c r="C1143" s="2">
        <v>45371</v>
      </c>
      <c r="D1143" t="s">
        <v>14</v>
      </c>
      <c r="E1143" t="s">
        <v>15</v>
      </c>
      <c r="F1143" t="s">
        <v>66</v>
      </c>
      <c r="G1143" t="s">
        <v>67</v>
      </c>
      <c r="H1143">
        <v>1</v>
      </c>
      <c r="I1143">
        <v>0</v>
      </c>
      <c r="J1143">
        <v>19.989999999999998</v>
      </c>
      <c r="K1143" t="s">
        <v>29</v>
      </c>
      <c r="L1143" t="s">
        <v>28</v>
      </c>
      <c r="M1143">
        <v>0</v>
      </c>
    </row>
    <row r="1144" spans="1:13" x14ac:dyDescent="0.2">
      <c r="A1144">
        <v>1143</v>
      </c>
      <c r="B1144" t="s">
        <v>46</v>
      </c>
      <c r="C1144" s="2">
        <v>45308</v>
      </c>
      <c r="D1144" t="s">
        <v>47</v>
      </c>
      <c r="E1144" t="s">
        <v>48</v>
      </c>
      <c r="F1144" t="s">
        <v>21</v>
      </c>
      <c r="G1144" t="s">
        <v>22</v>
      </c>
      <c r="H1144">
        <v>1</v>
      </c>
      <c r="I1144">
        <v>0</v>
      </c>
      <c r="J1144">
        <v>49.95</v>
      </c>
      <c r="K1144" t="s">
        <v>18</v>
      </c>
      <c r="L1144" t="s">
        <v>30</v>
      </c>
      <c r="M1144">
        <v>0</v>
      </c>
    </row>
    <row r="1145" spans="1:13" x14ac:dyDescent="0.2">
      <c r="A1145">
        <v>1144</v>
      </c>
      <c r="B1145" t="s">
        <v>81</v>
      </c>
      <c r="C1145" s="1">
        <v>45358</v>
      </c>
      <c r="D1145" t="s">
        <v>82</v>
      </c>
      <c r="E1145" t="s">
        <v>15</v>
      </c>
      <c r="F1145" t="s">
        <v>16</v>
      </c>
      <c r="G1145" t="s">
        <v>17</v>
      </c>
      <c r="H1145">
        <v>5</v>
      </c>
      <c r="I1145">
        <v>0</v>
      </c>
      <c r="J1145">
        <v>399.75</v>
      </c>
      <c r="K1145" t="s">
        <v>52</v>
      </c>
      <c r="L1145" t="s">
        <v>41</v>
      </c>
      <c r="M1145" t="s">
        <v>73</v>
      </c>
    </row>
    <row r="1146" spans="1:13" x14ac:dyDescent="0.2">
      <c r="A1146">
        <v>1145</v>
      </c>
      <c r="B1146" t="s">
        <v>24</v>
      </c>
      <c r="C1146" s="2">
        <v>45212</v>
      </c>
      <c r="D1146" t="s">
        <v>87</v>
      </c>
      <c r="E1146" t="s">
        <v>39</v>
      </c>
      <c r="F1146" t="s">
        <v>26</v>
      </c>
      <c r="G1146" t="s">
        <v>22</v>
      </c>
      <c r="H1146">
        <v>4</v>
      </c>
      <c r="I1146">
        <v>0</v>
      </c>
      <c r="J1146">
        <v>179.8</v>
      </c>
      <c r="K1146" t="s">
        <v>52</v>
      </c>
      <c r="L1146" t="s">
        <v>23</v>
      </c>
      <c r="M1146" t="b">
        <v>1</v>
      </c>
    </row>
    <row r="1147" spans="1:13" x14ac:dyDescent="0.2">
      <c r="A1147">
        <v>1146</v>
      </c>
      <c r="B1147" t="s">
        <v>85</v>
      </c>
      <c r="C1147" s="2">
        <v>45589</v>
      </c>
      <c r="D1147" t="s">
        <v>86</v>
      </c>
      <c r="E1147" t="s">
        <v>76</v>
      </c>
      <c r="F1147" t="s">
        <v>21</v>
      </c>
      <c r="G1147" t="s">
        <v>22</v>
      </c>
      <c r="H1147">
        <v>3</v>
      </c>
      <c r="I1147">
        <v>0</v>
      </c>
      <c r="J1147">
        <v>269.85000000000002</v>
      </c>
      <c r="K1147" t="s">
        <v>27</v>
      </c>
      <c r="L1147" t="s">
        <v>55</v>
      </c>
      <c r="M1147" t="s">
        <v>73</v>
      </c>
    </row>
    <row r="1148" spans="1:13" x14ac:dyDescent="0.2">
      <c r="A1148">
        <v>1147</v>
      </c>
      <c r="B1148" t="s">
        <v>56</v>
      </c>
      <c r="C1148" s="2">
        <v>45532</v>
      </c>
      <c r="D1148" t="s">
        <v>57</v>
      </c>
      <c r="E1148" t="s">
        <v>48</v>
      </c>
      <c r="F1148" t="s">
        <v>44</v>
      </c>
      <c r="H1148">
        <v>3</v>
      </c>
      <c r="J1148">
        <v>255</v>
      </c>
      <c r="K1148" t="s">
        <v>80</v>
      </c>
      <c r="L1148" t="s">
        <v>28</v>
      </c>
      <c r="M1148">
        <v>1</v>
      </c>
    </row>
    <row r="1149" spans="1:13" x14ac:dyDescent="0.2">
      <c r="A1149">
        <v>1148</v>
      </c>
      <c r="B1149" t="s">
        <v>31</v>
      </c>
      <c r="C1149" s="1">
        <v>45166</v>
      </c>
      <c r="D1149" t="s">
        <v>32</v>
      </c>
      <c r="E1149" t="s">
        <v>33</v>
      </c>
      <c r="F1149" t="s">
        <v>21</v>
      </c>
      <c r="G1149" t="s">
        <v>22</v>
      </c>
      <c r="H1149">
        <v>4</v>
      </c>
      <c r="I1149">
        <v>0.25</v>
      </c>
      <c r="J1149">
        <v>239.85</v>
      </c>
      <c r="K1149" t="s">
        <v>80</v>
      </c>
      <c r="L1149" t="s">
        <v>23</v>
      </c>
      <c r="M1149" t="b">
        <v>0</v>
      </c>
    </row>
    <row r="1150" spans="1:13" x14ac:dyDescent="0.2">
      <c r="A1150">
        <v>1149</v>
      </c>
      <c r="B1150" t="s">
        <v>68</v>
      </c>
      <c r="C1150" s="2">
        <v>45298</v>
      </c>
      <c r="D1150" t="s">
        <v>69</v>
      </c>
      <c r="E1150" t="s">
        <v>33</v>
      </c>
      <c r="F1150" t="s">
        <v>16</v>
      </c>
      <c r="G1150" t="s">
        <v>17</v>
      </c>
      <c r="H1150">
        <v>1</v>
      </c>
      <c r="J1150">
        <v>119</v>
      </c>
      <c r="K1150" t="s">
        <v>18</v>
      </c>
      <c r="L1150" t="s">
        <v>28</v>
      </c>
      <c r="M1150" t="b">
        <v>0</v>
      </c>
    </row>
    <row r="1151" spans="1:13" x14ac:dyDescent="0.2">
      <c r="A1151">
        <v>1150</v>
      </c>
      <c r="B1151" t="s">
        <v>24</v>
      </c>
      <c r="C1151" s="2">
        <v>45236</v>
      </c>
      <c r="D1151" t="s">
        <v>87</v>
      </c>
      <c r="E1151" t="s">
        <v>39</v>
      </c>
      <c r="F1151" t="s">
        <v>40</v>
      </c>
      <c r="G1151" t="s">
        <v>17</v>
      </c>
      <c r="H1151">
        <v>5</v>
      </c>
      <c r="I1151">
        <v>0</v>
      </c>
      <c r="J1151">
        <v>224.75</v>
      </c>
      <c r="K1151" t="s">
        <v>27</v>
      </c>
      <c r="L1151" t="s">
        <v>28</v>
      </c>
      <c r="M1151" t="b">
        <v>1</v>
      </c>
    </row>
    <row r="1152" spans="1:13" x14ac:dyDescent="0.2">
      <c r="A1152">
        <v>1151</v>
      </c>
      <c r="B1152" t="s">
        <v>68</v>
      </c>
      <c r="C1152" s="2">
        <v>45425</v>
      </c>
      <c r="D1152" t="s">
        <v>69</v>
      </c>
      <c r="E1152" t="s">
        <v>33</v>
      </c>
      <c r="F1152" t="s">
        <v>44</v>
      </c>
      <c r="H1152">
        <v>3</v>
      </c>
      <c r="I1152">
        <v>0.15</v>
      </c>
      <c r="J1152">
        <v>303.45</v>
      </c>
      <c r="K1152" t="s">
        <v>29</v>
      </c>
      <c r="L1152" t="s">
        <v>55</v>
      </c>
      <c r="M1152" t="b">
        <v>0</v>
      </c>
    </row>
    <row r="1153" spans="1:13" x14ac:dyDescent="0.2">
      <c r="A1153">
        <v>1152</v>
      </c>
      <c r="B1153" t="s">
        <v>64</v>
      </c>
      <c r="C1153" s="2">
        <v>45199</v>
      </c>
      <c r="D1153" t="s">
        <v>25</v>
      </c>
      <c r="E1153" t="s">
        <v>25</v>
      </c>
      <c r="F1153" t="s">
        <v>66</v>
      </c>
      <c r="G1153" t="s">
        <v>67</v>
      </c>
      <c r="H1153">
        <v>1</v>
      </c>
      <c r="I1153">
        <v>0.2</v>
      </c>
      <c r="J1153">
        <v>59.96</v>
      </c>
      <c r="K1153" t="s">
        <v>29</v>
      </c>
      <c r="L1153" t="s">
        <v>45</v>
      </c>
      <c r="M1153" t="s">
        <v>25</v>
      </c>
    </row>
    <row r="1154" spans="1:13" x14ac:dyDescent="0.2">
      <c r="A1154">
        <v>1153</v>
      </c>
      <c r="B1154" t="s">
        <v>68</v>
      </c>
      <c r="C1154" s="1">
        <v>45281</v>
      </c>
      <c r="D1154" t="s">
        <v>69</v>
      </c>
      <c r="E1154" t="s">
        <v>33</v>
      </c>
      <c r="F1154" t="s">
        <v>53</v>
      </c>
      <c r="G1154" t="s">
        <v>54</v>
      </c>
      <c r="H1154">
        <v>3</v>
      </c>
      <c r="I1154">
        <v>0</v>
      </c>
      <c r="J1154">
        <v>357</v>
      </c>
      <c r="K1154" t="s">
        <v>80</v>
      </c>
      <c r="L1154" t="s">
        <v>55</v>
      </c>
      <c r="M1154" t="b">
        <v>0</v>
      </c>
    </row>
    <row r="1155" spans="1:13" x14ac:dyDescent="0.2">
      <c r="A1155">
        <v>1154</v>
      </c>
      <c r="B1155" t="s">
        <v>83</v>
      </c>
      <c r="C1155" s="2">
        <v>45574</v>
      </c>
      <c r="D1155" t="s">
        <v>84</v>
      </c>
      <c r="E1155" t="s">
        <v>48</v>
      </c>
      <c r="F1155" t="s">
        <v>40</v>
      </c>
      <c r="G1155" t="s">
        <v>17</v>
      </c>
      <c r="H1155">
        <v>1</v>
      </c>
      <c r="I1155">
        <v>0</v>
      </c>
      <c r="J1155">
        <v>49.95</v>
      </c>
      <c r="K1155" t="s">
        <v>27</v>
      </c>
      <c r="L1155" t="s">
        <v>23</v>
      </c>
      <c r="M1155">
        <v>0</v>
      </c>
    </row>
    <row r="1156" spans="1:13" x14ac:dyDescent="0.2">
      <c r="A1156">
        <v>1155</v>
      </c>
      <c r="B1156" t="s">
        <v>31</v>
      </c>
      <c r="C1156" s="2">
        <v>45213</v>
      </c>
      <c r="D1156" t="s">
        <v>32</v>
      </c>
      <c r="E1156" t="s">
        <v>33</v>
      </c>
      <c r="F1156" t="s">
        <v>44</v>
      </c>
      <c r="H1156">
        <v>5</v>
      </c>
      <c r="I1156">
        <v>0</v>
      </c>
      <c r="J1156">
        <v>399.75</v>
      </c>
      <c r="K1156" t="s">
        <v>36</v>
      </c>
      <c r="L1156" t="s">
        <v>49</v>
      </c>
      <c r="M1156" t="b">
        <v>0</v>
      </c>
    </row>
    <row r="1157" spans="1:13" x14ac:dyDescent="0.2">
      <c r="A1157">
        <v>1156</v>
      </c>
      <c r="B1157" t="s">
        <v>61</v>
      </c>
      <c r="C1157" s="2">
        <v>45309</v>
      </c>
      <c r="D1157" t="s">
        <v>62</v>
      </c>
      <c r="E1157" t="s">
        <v>33</v>
      </c>
      <c r="F1157" t="s">
        <v>16</v>
      </c>
      <c r="G1157" t="s">
        <v>17</v>
      </c>
      <c r="H1157">
        <v>4</v>
      </c>
      <c r="I1157">
        <v>0</v>
      </c>
      <c r="J1157">
        <v>139.96</v>
      </c>
      <c r="K1157" t="s">
        <v>80</v>
      </c>
      <c r="L1157" t="s">
        <v>28</v>
      </c>
      <c r="M1157">
        <v>0</v>
      </c>
    </row>
    <row r="1158" spans="1:13" x14ac:dyDescent="0.2">
      <c r="A1158">
        <v>1157</v>
      </c>
      <c r="B1158" t="s">
        <v>13</v>
      </c>
      <c r="C1158" s="2">
        <v>45599</v>
      </c>
      <c r="D1158" t="s">
        <v>14</v>
      </c>
      <c r="E1158" t="s">
        <v>15</v>
      </c>
      <c r="F1158" t="s">
        <v>40</v>
      </c>
      <c r="G1158" t="s">
        <v>17</v>
      </c>
      <c r="H1158">
        <v>5</v>
      </c>
      <c r="I1158" t="s">
        <v>70</v>
      </c>
      <c r="J1158">
        <v>99.95</v>
      </c>
      <c r="K1158" t="s">
        <v>27</v>
      </c>
      <c r="L1158" t="s">
        <v>41</v>
      </c>
      <c r="M1158">
        <v>0</v>
      </c>
    </row>
    <row r="1159" spans="1:13" x14ac:dyDescent="0.2">
      <c r="A1159">
        <v>1158</v>
      </c>
      <c r="B1159" t="s">
        <v>37</v>
      </c>
      <c r="C1159" s="1">
        <v>45367</v>
      </c>
      <c r="D1159" t="s">
        <v>38</v>
      </c>
      <c r="E1159" t="s">
        <v>39</v>
      </c>
      <c r="F1159" t="s">
        <v>66</v>
      </c>
      <c r="G1159" t="s">
        <v>67</v>
      </c>
      <c r="H1159">
        <v>1</v>
      </c>
      <c r="I1159">
        <v>0</v>
      </c>
      <c r="J1159">
        <v>64.95</v>
      </c>
      <c r="K1159" t="s">
        <v>27</v>
      </c>
      <c r="L1159" t="s">
        <v>41</v>
      </c>
      <c r="M1159">
        <v>1</v>
      </c>
    </row>
    <row r="1160" spans="1:13" x14ac:dyDescent="0.2">
      <c r="A1160">
        <v>1159</v>
      </c>
      <c r="B1160" t="s">
        <v>56</v>
      </c>
      <c r="C1160" s="1">
        <v>45071</v>
      </c>
      <c r="D1160" t="s">
        <v>57</v>
      </c>
      <c r="E1160" t="s">
        <v>48</v>
      </c>
      <c r="F1160" t="s">
        <v>53</v>
      </c>
      <c r="G1160" t="s">
        <v>54</v>
      </c>
      <c r="H1160">
        <v>3</v>
      </c>
      <c r="I1160">
        <v>0.1</v>
      </c>
      <c r="J1160">
        <v>229.5</v>
      </c>
      <c r="K1160" t="s">
        <v>36</v>
      </c>
      <c r="L1160" t="s">
        <v>63</v>
      </c>
      <c r="M1160">
        <v>1</v>
      </c>
    </row>
    <row r="1161" spans="1:13" x14ac:dyDescent="0.2">
      <c r="A1161">
        <v>1160</v>
      </c>
      <c r="B1161" t="s">
        <v>46</v>
      </c>
      <c r="C1161" s="2">
        <v>45134</v>
      </c>
      <c r="D1161" t="s">
        <v>25</v>
      </c>
      <c r="E1161" t="s">
        <v>25</v>
      </c>
      <c r="F1161" t="s">
        <v>44</v>
      </c>
      <c r="H1161">
        <v>4</v>
      </c>
      <c r="I1161">
        <v>0</v>
      </c>
      <c r="J1161">
        <v>199.8</v>
      </c>
      <c r="K1161" t="s">
        <v>29</v>
      </c>
      <c r="L1161" t="s">
        <v>45</v>
      </c>
      <c r="M1161" t="s">
        <v>25</v>
      </c>
    </row>
    <row r="1162" spans="1:13" x14ac:dyDescent="0.2">
      <c r="A1162">
        <v>1161</v>
      </c>
      <c r="B1162" t="s">
        <v>56</v>
      </c>
      <c r="C1162" s="2">
        <v>45114</v>
      </c>
      <c r="D1162" t="s">
        <v>57</v>
      </c>
      <c r="E1162" t="s">
        <v>48</v>
      </c>
      <c r="F1162" t="s">
        <v>40</v>
      </c>
      <c r="G1162" t="s">
        <v>17</v>
      </c>
      <c r="H1162">
        <v>5</v>
      </c>
      <c r="I1162">
        <v>0.2</v>
      </c>
      <c r="J1162">
        <v>340</v>
      </c>
      <c r="K1162" t="s">
        <v>36</v>
      </c>
      <c r="L1162" t="s">
        <v>63</v>
      </c>
      <c r="M1162">
        <v>1</v>
      </c>
    </row>
    <row r="1163" spans="1:13" x14ac:dyDescent="0.2">
      <c r="A1163">
        <v>1162</v>
      </c>
      <c r="B1163" t="s">
        <v>88</v>
      </c>
      <c r="C1163" s="1">
        <v>45206</v>
      </c>
      <c r="D1163" t="s">
        <v>89</v>
      </c>
      <c r="E1163" t="s">
        <v>33</v>
      </c>
      <c r="F1163" t="s">
        <v>34</v>
      </c>
      <c r="G1163" t="s">
        <v>35</v>
      </c>
      <c r="H1163">
        <v>2</v>
      </c>
      <c r="I1163">
        <v>0.2</v>
      </c>
      <c r="J1163">
        <v>316.8</v>
      </c>
      <c r="K1163" t="s">
        <v>29</v>
      </c>
      <c r="L1163" t="s">
        <v>23</v>
      </c>
      <c r="M1163" t="b">
        <v>0</v>
      </c>
    </row>
    <row r="1164" spans="1:13" x14ac:dyDescent="0.2">
      <c r="A1164">
        <v>1163</v>
      </c>
      <c r="B1164" t="s">
        <v>56</v>
      </c>
      <c r="C1164" s="1">
        <v>45318</v>
      </c>
      <c r="D1164" t="s">
        <v>25</v>
      </c>
      <c r="E1164" t="s">
        <v>25</v>
      </c>
      <c r="F1164" t="s">
        <v>34</v>
      </c>
      <c r="G1164" t="s">
        <v>35</v>
      </c>
      <c r="H1164">
        <v>3</v>
      </c>
      <c r="I1164">
        <v>0</v>
      </c>
      <c r="J1164">
        <v>255</v>
      </c>
      <c r="K1164" t="s">
        <v>18</v>
      </c>
      <c r="L1164" t="s">
        <v>49</v>
      </c>
      <c r="M1164" t="s">
        <v>25</v>
      </c>
    </row>
    <row r="1165" spans="1:13" x14ac:dyDescent="0.2">
      <c r="A1165">
        <v>1164</v>
      </c>
      <c r="B1165" t="s">
        <v>74</v>
      </c>
      <c r="C1165" s="2">
        <v>45008</v>
      </c>
      <c r="D1165" t="s">
        <v>25</v>
      </c>
      <c r="E1165" t="s">
        <v>25</v>
      </c>
      <c r="F1165" t="s">
        <v>26</v>
      </c>
      <c r="G1165" t="s">
        <v>22</v>
      </c>
      <c r="H1165">
        <v>3</v>
      </c>
      <c r="I1165">
        <v>0.25</v>
      </c>
      <c r="J1165">
        <v>101.14</v>
      </c>
      <c r="K1165" t="s">
        <v>52</v>
      </c>
      <c r="L1165" t="s">
        <v>49</v>
      </c>
      <c r="M1165" t="s">
        <v>25</v>
      </c>
    </row>
    <row r="1166" spans="1:13" x14ac:dyDescent="0.2">
      <c r="A1166">
        <v>1165</v>
      </c>
      <c r="B1166" t="s">
        <v>46</v>
      </c>
      <c r="C1166" s="1">
        <v>44955</v>
      </c>
      <c r="D1166" t="s">
        <v>47</v>
      </c>
      <c r="E1166" t="s">
        <v>48</v>
      </c>
      <c r="F1166" t="s">
        <v>40</v>
      </c>
      <c r="G1166" t="s">
        <v>17</v>
      </c>
      <c r="H1166">
        <v>1</v>
      </c>
      <c r="I1166">
        <v>0.25</v>
      </c>
      <c r="J1166">
        <v>37.46</v>
      </c>
      <c r="K1166" t="s">
        <v>36</v>
      </c>
      <c r="L1166" t="s">
        <v>30</v>
      </c>
      <c r="M1166">
        <v>0</v>
      </c>
    </row>
    <row r="1167" spans="1:13" x14ac:dyDescent="0.2">
      <c r="A1167">
        <v>1166</v>
      </c>
      <c r="B1167" t="s">
        <v>46</v>
      </c>
      <c r="C1167" s="1">
        <v>45229</v>
      </c>
      <c r="D1167" t="s">
        <v>25</v>
      </c>
      <c r="E1167" t="s">
        <v>25</v>
      </c>
      <c r="F1167" t="s">
        <v>21</v>
      </c>
      <c r="G1167" t="s">
        <v>22</v>
      </c>
      <c r="H1167">
        <v>5</v>
      </c>
      <c r="I1167">
        <v>0</v>
      </c>
      <c r="J1167">
        <v>249.75</v>
      </c>
      <c r="K1167" t="s">
        <v>52</v>
      </c>
      <c r="L1167" t="s">
        <v>45</v>
      </c>
      <c r="M1167" t="s">
        <v>25</v>
      </c>
    </row>
    <row r="1168" spans="1:13" x14ac:dyDescent="0.2">
      <c r="A1168">
        <v>1167</v>
      </c>
      <c r="B1168" t="s">
        <v>88</v>
      </c>
      <c r="C1168" s="1">
        <v>45011</v>
      </c>
      <c r="D1168" t="s">
        <v>89</v>
      </c>
      <c r="E1168" t="s">
        <v>33</v>
      </c>
      <c r="F1168" t="s">
        <v>34</v>
      </c>
      <c r="G1168" t="s">
        <v>35</v>
      </c>
      <c r="H1168">
        <v>3</v>
      </c>
      <c r="I1168">
        <v>0</v>
      </c>
      <c r="J1168">
        <v>594</v>
      </c>
      <c r="K1168" t="s">
        <v>27</v>
      </c>
      <c r="M1168" t="b">
        <v>0</v>
      </c>
    </row>
    <row r="1169" spans="1:13" x14ac:dyDescent="0.2">
      <c r="A1169">
        <v>1168</v>
      </c>
      <c r="B1169" t="s">
        <v>58</v>
      </c>
      <c r="C1169" s="1">
        <v>45146</v>
      </c>
      <c r="D1169" t="s">
        <v>59</v>
      </c>
      <c r="E1169" t="s">
        <v>15</v>
      </c>
      <c r="F1169" t="s">
        <v>21</v>
      </c>
      <c r="G1169" t="s">
        <v>22</v>
      </c>
      <c r="H1169">
        <v>1</v>
      </c>
      <c r="I1169">
        <v>0.15</v>
      </c>
      <c r="J1169">
        <v>50.96</v>
      </c>
      <c r="K1169" t="s">
        <v>52</v>
      </c>
      <c r="L1169" t="s">
        <v>55</v>
      </c>
      <c r="M1169">
        <v>1</v>
      </c>
    </row>
    <row r="1170" spans="1:13" x14ac:dyDescent="0.2">
      <c r="A1170">
        <v>1169</v>
      </c>
      <c r="B1170" t="s">
        <v>58</v>
      </c>
      <c r="C1170" s="2">
        <v>45029</v>
      </c>
      <c r="D1170" t="s">
        <v>59</v>
      </c>
      <c r="E1170" t="s">
        <v>15</v>
      </c>
      <c r="F1170" t="s">
        <v>40</v>
      </c>
      <c r="G1170" t="s">
        <v>17</v>
      </c>
      <c r="H1170">
        <v>4</v>
      </c>
      <c r="I1170">
        <v>0.1</v>
      </c>
      <c r="J1170">
        <v>215.82</v>
      </c>
      <c r="K1170" t="s">
        <v>29</v>
      </c>
      <c r="L1170" t="s">
        <v>23</v>
      </c>
      <c r="M1170">
        <v>1</v>
      </c>
    </row>
    <row r="1171" spans="1:13" x14ac:dyDescent="0.2">
      <c r="A1171">
        <v>1170</v>
      </c>
      <c r="B1171" t="s">
        <v>19</v>
      </c>
      <c r="C1171" s="1">
        <v>45221</v>
      </c>
      <c r="D1171" t="s">
        <v>20</v>
      </c>
      <c r="E1171" t="s">
        <v>15</v>
      </c>
      <c r="F1171" t="s">
        <v>26</v>
      </c>
      <c r="G1171" t="s">
        <v>22</v>
      </c>
      <c r="H1171">
        <v>1</v>
      </c>
      <c r="I1171">
        <v>0</v>
      </c>
      <c r="J1171">
        <v>89.95</v>
      </c>
      <c r="K1171" t="s">
        <v>29</v>
      </c>
      <c r="L1171" t="s">
        <v>23</v>
      </c>
      <c r="M1171" t="b">
        <v>1</v>
      </c>
    </row>
    <row r="1172" spans="1:13" x14ac:dyDescent="0.2">
      <c r="A1172">
        <v>1171</v>
      </c>
      <c r="B1172" t="s">
        <v>58</v>
      </c>
      <c r="C1172" s="2">
        <v>45482</v>
      </c>
      <c r="D1172" t="s">
        <v>59</v>
      </c>
      <c r="E1172" t="s">
        <v>15</v>
      </c>
      <c r="F1172" t="s">
        <v>21</v>
      </c>
      <c r="G1172" t="s">
        <v>22</v>
      </c>
      <c r="H1172">
        <v>5</v>
      </c>
      <c r="I1172">
        <v>0.1</v>
      </c>
      <c r="J1172">
        <v>269.77999999999997</v>
      </c>
      <c r="K1172" t="s">
        <v>27</v>
      </c>
      <c r="L1172" t="s">
        <v>55</v>
      </c>
      <c r="M1172">
        <v>1</v>
      </c>
    </row>
    <row r="1173" spans="1:13" x14ac:dyDescent="0.2">
      <c r="A1173">
        <v>1172</v>
      </c>
      <c r="B1173" t="s">
        <v>68</v>
      </c>
      <c r="C1173" s="2">
        <v>44973</v>
      </c>
      <c r="D1173" t="s">
        <v>69</v>
      </c>
      <c r="E1173" t="s">
        <v>33</v>
      </c>
      <c r="F1173" t="s">
        <v>40</v>
      </c>
      <c r="G1173" t="s">
        <v>17</v>
      </c>
      <c r="H1173">
        <v>2</v>
      </c>
      <c r="I1173">
        <v>0.15</v>
      </c>
      <c r="J1173">
        <v>202.3</v>
      </c>
      <c r="K1173" t="s">
        <v>18</v>
      </c>
      <c r="M1173" t="b">
        <v>0</v>
      </c>
    </row>
    <row r="1174" spans="1:13" x14ac:dyDescent="0.2">
      <c r="A1174">
        <v>1173</v>
      </c>
      <c r="B1174" t="s">
        <v>42</v>
      </c>
      <c r="C1174" s="2">
        <v>45196</v>
      </c>
      <c r="D1174" t="s">
        <v>43</v>
      </c>
      <c r="E1174" t="s">
        <v>15</v>
      </c>
      <c r="F1174" t="s">
        <v>26</v>
      </c>
      <c r="G1174" t="s">
        <v>22</v>
      </c>
      <c r="H1174">
        <v>5</v>
      </c>
      <c r="I1174">
        <v>0.2</v>
      </c>
      <c r="J1174">
        <v>516</v>
      </c>
      <c r="K1174" t="s">
        <v>29</v>
      </c>
      <c r="L1174" t="s">
        <v>41</v>
      </c>
      <c r="M1174" t="b">
        <v>1</v>
      </c>
    </row>
    <row r="1175" spans="1:13" x14ac:dyDescent="0.2">
      <c r="A1175">
        <v>1174</v>
      </c>
      <c r="B1175" t="s">
        <v>81</v>
      </c>
      <c r="C1175" s="2">
        <v>44948</v>
      </c>
      <c r="D1175" t="s">
        <v>25</v>
      </c>
      <c r="E1175" t="s">
        <v>25</v>
      </c>
      <c r="F1175" t="s">
        <v>34</v>
      </c>
      <c r="G1175" t="s">
        <v>35</v>
      </c>
      <c r="H1175">
        <v>3</v>
      </c>
      <c r="I1175">
        <v>0.1</v>
      </c>
      <c r="J1175">
        <v>215.87</v>
      </c>
      <c r="K1175" t="s">
        <v>18</v>
      </c>
      <c r="L1175" t="s">
        <v>49</v>
      </c>
      <c r="M1175" t="s">
        <v>25</v>
      </c>
    </row>
    <row r="1176" spans="1:13" x14ac:dyDescent="0.2">
      <c r="A1176">
        <v>1175</v>
      </c>
      <c r="B1176" t="s">
        <v>42</v>
      </c>
      <c r="C1176" s="2">
        <v>45188</v>
      </c>
      <c r="D1176" t="s">
        <v>25</v>
      </c>
      <c r="E1176" t="s">
        <v>25</v>
      </c>
      <c r="F1176" t="s">
        <v>26</v>
      </c>
      <c r="G1176" t="s">
        <v>22</v>
      </c>
      <c r="H1176">
        <v>4</v>
      </c>
      <c r="I1176">
        <v>0.05</v>
      </c>
      <c r="J1176">
        <v>490.2</v>
      </c>
      <c r="K1176" t="s">
        <v>52</v>
      </c>
      <c r="L1176" t="s">
        <v>28</v>
      </c>
      <c r="M1176" t="s">
        <v>25</v>
      </c>
    </row>
    <row r="1177" spans="1:13" x14ac:dyDescent="0.2">
      <c r="A1177">
        <v>1176</v>
      </c>
      <c r="B1177" t="s">
        <v>19</v>
      </c>
      <c r="C1177" s="2">
        <v>44998</v>
      </c>
      <c r="D1177" t="s">
        <v>25</v>
      </c>
      <c r="E1177" t="s">
        <v>25</v>
      </c>
      <c r="F1177" t="s">
        <v>66</v>
      </c>
      <c r="G1177" t="s">
        <v>67</v>
      </c>
      <c r="H1177">
        <v>2</v>
      </c>
      <c r="I1177" t="s">
        <v>60</v>
      </c>
      <c r="J1177">
        <v>179.9</v>
      </c>
      <c r="K1177" t="s">
        <v>27</v>
      </c>
      <c r="L1177" t="s">
        <v>49</v>
      </c>
      <c r="M1177" t="s">
        <v>25</v>
      </c>
    </row>
    <row r="1178" spans="1:13" x14ac:dyDescent="0.2">
      <c r="A1178">
        <v>1177</v>
      </c>
      <c r="B1178" t="s">
        <v>78</v>
      </c>
      <c r="C1178" s="2">
        <v>45046</v>
      </c>
      <c r="D1178" t="s">
        <v>79</v>
      </c>
      <c r="E1178" t="s">
        <v>48</v>
      </c>
      <c r="F1178" t="s">
        <v>21</v>
      </c>
      <c r="G1178" t="s">
        <v>22</v>
      </c>
      <c r="H1178">
        <v>3</v>
      </c>
      <c r="I1178">
        <v>0.05</v>
      </c>
      <c r="J1178">
        <v>113.86</v>
      </c>
      <c r="K1178" t="s">
        <v>18</v>
      </c>
      <c r="L1178" t="s">
        <v>23</v>
      </c>
      <c r="M1178">
        <v>1</v>
      </c>
    </row>
    <row r="1179" spans="1:13" x14ac:dyDescent="0.2">
      <c r="A1179">
        <v>1178</v>
      </c>
      <c r="B1179" t="s">
        <v>88</v>
      </c>
      <c r="C1179" s="2">
        <v>45117</v>
      </c>
      <c r="D1179" t="s">
        <v>89</v>
      </c>
      <c r="E1179" t="s">
        <v>33</v>
      </c>
      <c r="F1179" t="s">
        <v>44</v>
      </c>
      <c r="H1179">
        <v>5</v>
      </c>
      <c r="I1179">
        <v>0.25</v>
      </c>
      <c r="J1179">
        <v>742.5</v>
      </c>
      <c r="K1179" t="s">
        <v>80</v>
      </c>
      <c r="L1179" t="s">
        <v>49</v>
      </c>
      <c r="M1179" t="b">
        <v>0</v>
      </c>
    </row>
    <row r="1180" spans="1:13" x14ac:dyDescent="0.2">
      <c r="A1180">
        <v>1179</v>
      </c>
      <c r="B1180" t="s">
        <v>13</v>
      </c>
      <c r="C1180" s="2">
        <v>45460</v>
      </c>
      <c r="D1180" t="s">
        <v>14</v>
      </c>
      <c r="E1180" t="s">
        <v>15</v>
      </c>
      <c r="F1180" t="s">
        <v>66</v>
      </c>
      <c r="G1180" t="s">
        <v>67</v>
      </c>
      <c r="H1180">
        <v>2</v>
      </c>
      <c r="J1180">
        <v>39.979999999999997</v>
      </c>
      <c r="K1180" t="s">
        <v>52</v>
      </c>
      <c r="L1180" t="s">
        <v>49</v>
      </c>
      <c r="M1180">
        <v>0</v>
      </c>
    </row>
    <row r="1181" spans="1:13" x14ac:dyDescent="0.2">
      <c r="A1181">
        <v>1180</v>
      </c>
      <c r="B1181" t="s">
        <v>19</v>
      </c>
      <c r="C1181" s="1">
        <v>45368</v>
      </c>
      <c r="D1181" t="s">
        <v>20</v>
      </c>
      <c r="E1181" t="s">
        <v>15</v>
      </c>
      <c r="F1181" t="s">
        <v>66</v>
      </c>
      <c r="G1181" t="s">
        <v>67</v>
      </c>
      <c r="H1181">
        <v>5</v>
      </c>
      <c r="I1181">
        <v>0</v>
      </c>
      <c r="J1181">
        <v>449.75</v>
      </c>
      <c r="K1181" t="s">
        <v>18</v>
      </c>
      <c r="L1181" t="s">
        <v>45</v>
      </c>
      <c r="M1181" t="b">
        <v>1</v>
      </c>
    </row>
    <row r="1182" spans="1:13" x14ac:dyDescent="0.2">
      <c r="A1182">
        <v>1181</v>
      </c>
      <c r="B1182" t="s">
        <v>78</v>
      </c>
      <c r="C1182" s="1">
        <v>45301</v>
      </c>
      <c r="D1182" t="s">
        <v>79</v>
      </c>
      <c r="E1182" t="s">
        <v>48</v>
      </c>
      <c r="F1182" t="s">
        <v>16</v>
      </c>
      <c r="G1182" t="s">
        <v>17</v>
      </c>
      <c r="H1182">
        <v>5</v>
      </c>
      <c r="I1182">
        <v>0.25</v>
      </c>
      <c r="J1182">
        <v>149.81</v>
      </c>
      <c r="K1182" t="s">
        <v>36</v>
      </c>
      <c r="L1182" t="s">
        <v>23</v>
      </c>
      <c r="M1182">
        <v>1</v>
      </c>
    </row>
    <row r="1183" spans="1:13" x14ac:dyDescent="0.2">
      <c r="A1183">
        <v>1182</v>
      </c>
      <c r="B1183" t="s">
        <v>81</v>
      </c>
      <c r="C1183" s="2">
        <v>45634</v>
      </c>
      <c r="D1183" t="s">
        <v>82</v>
      </c>
      <c r="E1183" t="s">
        <v>15</v>
      </c>
      <c r="F1183" t="s">
        <v>40</v>
      </c>
      <c r="G1183" t="s">
        <v>17</v>
      </c>
      <c r="H1183">
        <v>4</v>
      </c>
      <c r="I1183">
        <v>0.25</v>
      </c>
      <c r="J1183">
        <v>239.85</v>
      </c>
      <c r="K1183" t="s">
        <v>36</v>
      </c>
      <c r="L1183" t="s">
        <v>45</v>
      </c>
      <c r="M1183" t="s">
        <v>73</v>
      </c>
    </row>
    <row r="1184" spans="1:13" x14ac:dyDescent="0.2">
      <c r="A1184">
        <v>1183</v>
      </c>
      <c r="B1184" t="s">
        <v>42</v>
      </c>
      <c r="C1184" s="2">
        <v>45522</v>
      </c>
      <c r="D1184" t="s">
        <v>25</v>
      </c>
      <c r="E1184" t="s">
        <v>25</v>
      </c>
      <c r="F1184" t="s">
        <v>34</v>
      </c>
      <c r="G1184" t="s">
        <v>35</v>
      </c>
      <c r="H1184">
        <v>5</v>
      </c>
      <c r="I1184">
        <v>0.2</v>
      </c>
      <c r="J1184">
        <v>516</v>
      </c>
      <c r="K1184" t="s">
        <v>80</v>
      </c>
      <c r="L1184" t="s">
        <v>45</v>
      </c>
      <c r="M1184" t="s">
        <v>25</v>
      </c>
    </row>
    <row r="1185" spans="1:13" x14ac:dyDescent="0.2">
      <c r="A1185">
        <v>1184</v>
      </c>
      <c r="B1185" t="s">
        <v>83</v>
      </c>
      <c r="C1185" s="2">
        <v>45491</v>
      </c>
      <c r="D1185" t="s">
        <v>84</v>
      </c>
      <c r="E1185" t="s">
        <v>48</v>
      </c>
      <c r="F1185" t="s">
        <v>66</v>
      </c>
      <c r="G1185" t="s">
        <v>67</v>
      </c>
      <c r="H1185">
        <v>2</v>
      </c>
      <c r="I1185">
        <v>0</v>
      </c>
      <c r="J1185">
        <v>99.9</v>
      </c>
      <c r="K1185" t="s">
        <v>18</v>
      </c>
      <c r="L1185" t="s">
        <v>23</v>
      </c>
      <c r="M1185">
        <v>0</v>
      </c>
    </row>
    <row r="1186" spans="1:13" x14ac:dyDescent="0.2">
      <c r="A1186">
        <v>1185</v>
      </c>
      <c r="B1186" t="s">
        <v>64</v>
      </c>
      <c r="C1186" s="1">
        <v>45061</v>
      </c>
      <c r="D1186" t="s">
        <v>65</v>
      </c>
      <c r="E1186" t="s">
        <v>33</v>
      </c>
      <c r="F1186" t="s">
        <v>53</v>
      </c>
      <c r="G1186" t="s">
        <v>54</v>
      </c>
      <c r="H1186">
        <v>4</v>
      </c>
      <c r="I1186">
        <v>0.1</v>
      </c>
      <c r="J1186">
        <v>269.82</v>
      </c>
      <c r="K1186" t="s">
        <v>36</v>
      </c>
      <c r="L1186" t="s">
        <v>63</v>
      </c>
      <c r="M1186">
        <v>0</v>
      </c>
    </row>
    <row r="1187" spans="1:13" x14ac:dyDescent="0.2">
      <c r="A1187">
        <v>1186</v>
      </c>
      <c r="B1187" t="s">
        <v>13</v>
      </c>
      <c r="C1187" s="1">
        <v>45210</v>
      </c>
      <c r="D1187" t="s">
        <v>14</v>
      </c>
      <c r="E1187" t="s">
        <v>15</v>
      </c>
      <c r="F1187" t="s">
        <v>66</v>
      </c>
      <c r="G1187" t="s">
        <v>67</v>
      </c>
      <c r="H1187">
        <v>2</v>
      </c>
      <c r="I1187">
        <v>0</v>
      </c>
      <c r="J1187">
        <v>39.979999999999997</v>
      </c>
      <c r="K1187" t="s">
        <v>27</v>
      </c>
      <c r="L1187" t="s">
        <v>63</v>
      </c>
      <c r="M1187">
        <v>0</v>
      </c>
    </row>
    <row r="1188" spans="1:13" x14ac:dyDescent="0.2">
      <c r="A1188">
        <v>1187</v>
      </c>
      <c r="B1188" t="s">
        <v>68</v>
      </c>
      <c r="C1188" s="2">
        <v>45022</v>
      </c>
      <c r="D1188" t="s">
        <v>69</v>
      </c>
      <c r="E1188" t="s">
        <v>33</v>
      </c>
      <c r="F1188" t="s">
        <v>34</v>
      </c>
      <c r="G1188" t="s">
        <v>35</v>
      </c>
      <c r="H1188">
        <v>2</v>
      </c>
      <c r="I1188">
        <v>0</v>
      </c>
      <c r="J1188">
        <v>238</v>
      </c>
      <c r="K1188" t="s">
        <v>80</v>
      </c>
      <c r="L1188" t="s">
        <v>45</v>
      </c>
      <c r="M1188" t="b">
        <v>0</v>
      </c>
    </row>
    <row r="1189" spans="1:13" x14ac:dyDescent="0.2">
      <c r="A1189">
        <v>1188</v>
      </c>
      <c r="B1189" t="s">
        <v>24</v>
      </c>
      <c r="C1189" s="2">
        <v>45525</v>
      </c>
      <c r="D1189" t="s">
        <v>87</v>
      </c>
      <c r="E1189" t="s">
        <v>39</v>
      </c>
      <c r="F1189" t="s">
        <v>34</v>
      </c>
      <c r="G1189" t="s">
        <v>35</v>
      </c>
      <c r="H1189">
        <v>4</v>
      </c>
      <c r="I1189">
        <v>0.25</v>
      </c>
      <c r="J1189">
        <v>134.85</v>
      </c>
      <c r="K1189" t="s">
        <v>29</v>
      </c>
      <c r="L1189" t="s">
        <v>49</v>
      </c>
      <c r="M1189" t="b">
        <v>1</v>
      </c>
    </row>
    <row r="1190" spans="1:13" x14ac:dyDescent="0.2">
      <c r="A1190">
        <v>1189</v>
      </c>
      <c r="B1190" t="s">
        <v>83</v>
      </c>
      <c r="C1190" s="1">
        <v>45523</v>
      </c>
      <c r="D1190" t="s">
        <v>84</v>
      </c>
      <c r="E1190" t="s">
        <v>48</v>
      </c>
      <c r="F1190" t="s">
        <v>16</v>
      </c>
      <c r="G1190" t="s">
        <v>17</v>
      </c>
      <c r="H1190">
        <v>3</v>
      </c>
      <c r="J1190">
        <v>149.85</v>
      </c>
      <c r="K1190" t="s">
        <v>18</v>
      </c>
      <c r="L1190" t="s">
        <v>23</v>
      </c>
      <c r="M1190">
        <v>0</v>
      </c>
    </row>
    <row r="1191" spans="1:13" x14ac:dyDescent="0.2">
      <c r="A1191">
        <v>1190</v>
      </c>
      <c r="B1191" t="s">
        <v>74</v>
      </c>
      <c r="C1191" s="2">
        <v>45048</v>
      </c>
      <c r="D1191" t="s">
        <v>75</v>
      </c>
      <c r="E1191" t="s">
        <v>76</v>
      </c>
      <c r="F1191" t="s">
        <v>21</v>
      </c>
      <c r="G1191" t="s">
        <v>22</v>
      </c>
      <c r="H1191">
        <v>2</v>
      </c>
      <c r="I1191">
        <v>0</v>
      </c>
      <c r="J1191">
        <v>89.9</v>
      </c>
      <c r="K1191" t="s">
        <v>18</v>
      </c>
      <c r="L1191" t="s">
        <v>55</v>
      </c>
      <c r="M1191" t="s">
        <v>77</v>
      </c>
    </row>
    <row r="1192" spans="1:13" x14ac:dyDescent="0.2">
      <c r="A1192">
        <v>1191</v>
      </c>
      <c r="B1192" t="s">
        <v>58</v>
      </c>
      <c r="C1192" s="1">
        <v>45013</v>
      </c>
      <c r="D1192" t="s">
        <v>59</v>
      </c>
      <c r="E1192" t="s">
        <v>15</v>
      </c>
      <c r="F1192" t="s">
        <v>44</v>
      </c>
      <c r="H1192">
        <v>4</v>
      </c>
      <c r="I1192">
        <v>0.05</v>
      </c>
      <c r="J1192">
        <v>227.81</v>
      </c>
      <c r="K1192" t="s">
        <v>18</v>
      </c>
      <c r="L1192" t="s">
        <v>28</v>
      </c>
      <c r="M1192">
        <v>1</v>
      </c>
    </row>
    <row r="1193" spans="1:13" x14ac:dyDescent="0.2">
      <c r="A1193">
        <v>1192</v>
      </c>
      <c r="B1193" t="s">
        <v>85</v>
      </c>
      <c r="C1193" s="1">
        <v>45120</v>
      </c>
      <c r="D1193" t="s">
        <v>86</v>
      </c>
      <c r="E1193" t="s">
        <v>76</v>
      </c>
      <c r="F1193" t="s">
        <v>44</v>
      </c>
      <c r="H1193">
        <v>4</v>
      </c>
      <c r="I1193">
        <v>0.05</v>
      </c>
      <c r="J1193">
        <v>341.81</v>
      </c>
      <c r="K1193" t="s">
        <v>80</v>
      </c>
      <c r="L1193" t="s">
        <v>30</v>
      </c>
      <c r="M1193" t="s">
        <v>73</v>
      </c>
    </row>
    <row r="1194" spans="1:13" x14ac:dyDescent="0.2">
      <c r="A1194">
        <v>1193</v>
      </c>
      <c r="B1194" t="s">
        <v>85</v>
      </c>
      <c r="C1194" s="2">
        <v>45188</v>
      </c>
      <c r="D1194" t="s">
        <v>86</v>
      </c>
      <c r="E1194" t="s">
        <v>76</v>
      </c>
      <c r="F1194" t="s">
        <v>66</v>
      </c>
      <c r="G1194" t="s">
        <v>67</v>
      </c>
      <c r="H1194">
        <v>1</v>
      </c>
      <c r="I1194">
        <v>0</v>
      </c>
      <c r="J1194">
        <v>89.95</v>
      </c>
      <c r="K1194" t="s">
        <v>18</v>
      </c>
      <c r="L1194" t="s">
        <v>30</v>
      </c>
      <c r="M1194" t="s">
        <v>73</v>
      </c>
    </row>
    <row r="1195" spans="1:13" x14ac:dyDescent="0.2">
      <c r="A1195">
        <v>1194</v>
      </c>
      <c r="B1195" t="s">
        <v>78</v>
      </c>
      <c r="C1195" s="1">
        <v>45630</v>
      </c>
      <c r="D1195" t="s">
        <v>79</v>
      </c>
      <c r="E1195" t="s">
        <v>48</v>
      </c>
      <c r="F1195" t="s">
        <v>16</v>
      </c>
      <c r="G1195" t="s">
        <v>17</v>
      </c>
      <c r="H1195">
        <v>5</v>
      </c>
      <c r="I1195">
        <v>0</v>
      </c>
      <c r="J1195">
        <v>199.75</v>
      </c>
      <c r="K1195" t="s">
        <v>80</v>
      </c>
      <c r="L1195" t="s">
        <v>41</v>
      </c>
      <c r="M1195">
        <v>1</v>
      </c>
    </row>
    <row r="1196" spans="1:13" x14ac:dyDescent="0.2">
      <c r="A1196">
        <v>1195</v>
      </c>
      <c r="B1196" t="s">
        <v>64</v>
      </c>
      <c r="C1196" s="1">
        <v>45064</v>
      </c>
      <c r="D1196" t="s">
        <v>65</v>
      </c>
      <c r="E1196" t="s">
        <v>33</v>
      </c>
      <c r="F1196" t="s">
        <v>21</v>
      </c>
      <c r="G1196" t="s">
        <v>22</v>
      </c>
      <c r="H1196">
        <v>2</v>
      </c>
      <c r="I1196">
        <v>0.05</v>
      </c>
      <c r="J1196">
        <v>142.4</v>
      </c>
      <c r="K1196" t="s">
        <v>18</v>
      </c>
      <c r="M1196">
        <v>0</v>
      </c>
    </row>
    <row r="1197" spans="1:13" x14ac:dyDescent="0.2">
      <c r="A1197">
        <v>1196</v>
      </c>
      <c r="B1197" t="s">
        <v>19</v>
      </c>
      <c r="C1197" s="2">
        <v>45173</v>
      </c>
      <c r="D1197" t="s">
        <v>20</v>
      </c>
      <c r="E1197" t="s">
        <v>15</v>
      </c>
      <c r="F1197" t="s">
        <v>34</v>
      </c>
      <c r="G1197" t="s">
        <v>35</v>
      </c>
      <c r="H1197">
        <v>3</v>
      </c>
      <c r="I1197">
        <v>0.05</v>
      </c>
      <c r="J1197">
        <v>256.36</v>
      </c>
      <c r="K1197" t="s">
        <v>36</v>
      </c>
      <c r="L1197" t="s">
        <v>23</v>
      </c>
      <c r="M1197" t="b">
        <v>1</v>
      </c>
    </row>
    <row r="1198" spans="1:13" x14ac:dyDescent="0.2">
      <c r="A1198">
        <v>1197</v>
      </c>
      <c r="B1198" t="s">
        <v>74</v>
      </c>
      <c r="C1198" s="2">
        <v>45391</v>
      </c>
      <c r="D1198" t="s">
        <v>75</v>
      </c>
      <c r="E1198" t="s">
        <v>76</v>
      </c>
      <c r="F1198" t="s">
        <v>44</v>
      </c>
      <c r="H1198">
        <v>5</v>
      </c>
      <c r="I1198">
        <v>0.1</v>
      </c>
      <c r="J1198">
        <v>202.28</v>
      </c>
      <c r="K1198" t="s">
        <v>52</v>
      </c>
      <c r="L1198" t="s">
        <v>41</v>
      </c>
      <c r="M1198" t="s">
        <v>77</v>
      </c>
    </row>
    <row r="1199" spans="1:13" x14ac:dyDescent="0.2">
      <c r="A1199">
        <v>1198</v>
      </c>
      <c r="B1199" t="s">
        <v>19</v>
      </c>
      <c r="C1199" s="2">
        <v>45329</v>
      </c>
      <c r="D1199" t="s">
        <v>20</v>
      </c>
      <c r="E1199" t="s">
        <v>15</v>
      </c>
      <c r="F1199" t="s">
        <v>40</v>
      </c>
      <c r="G1199" t="s">
        <v>17</v>
      </c>
      <c r="H1199">
        <v>4</v>
      </c>
      <c r="I1199">
        <v>0.15</v>
      </c>
      <c r="J1199">
        <v>305.83</v>
      </c>
      <c r="K1199" t="s">
        <v>52</v>
      </c>
      <c r="L1199" t="s">
        <v>41</v>
      </c>
      <c r="M1199" t="b">
        <v>1</v>
      </c>
    </row>
    <row r="1200" spans="1:13" x14ac:dyDescent="0.2">
      <c r="A1200">
        <v>1199</v>
      </c>
      <c r="B1200" t="s">
        <v>50</v>
      </c>
      <c r="C1200" s="1">
        <v>45267</v>
      </c>
      <c r="D1200" t="s">
        <v>51</v>
      </c>
      <c r="E1200" t="s">
        <v>15</v>
      </c>
      <c r="F1200" t="s">
        <v>40</v>
      </c>
      <c r="G1200" t="s">
        <v>17</v>
      </c>
      <c r="H1200">
        <v>3</v>
      </c>
      <c r="I1200">
        <v>0</v>
      </c>
      <c r="J1200">
        <v>209.85</v>
      </c>
      <c r="K1200" t="s">
        <v>80</v>
      </c>
      <c r="L1200" t="s">
        <v>23</v>
      </c>
      <c r="M1200">
        <v>0</v>
      </c>
    </row>
    <row r="1201" spans="1:13" x14ac:dyDescent="0.2">
      <c r="A1201">
        <v>1200</v>
      </c>
      <c r="B1201" t="s">
        <v>74</v>
      </c>
      <c r="C1201" s="2">
        <v>45172</v>
      </c>
      <c r="D1201" t="s">
        <v>75</v>
      </c>
      <c r="E1201" t="s">
        <v>76</v>
      </c>
      <c r="F1201" t="s">
        <v>21</v>
      </c>
      <c r="G1201" t="s">
        <v>22</v>
      </c>
      <c r="H1201">
        <v>3</v>
      </c>
      <c r="I1201">
        <v>0.25</v>
      </c>
      <c r="J1201">
        <v>101.14</v>
      </c>
      <c r="K1201" t="s">
        <v>27</v>
      </c>
      <c r="L1201" t="s">
        <v>45</v>
      </c>
      <c r="M1201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BC52A-7CB2-AD45-A402-B0DA2273EFDD}">
  <dimension ref="A1:M1203"/>
  <sheetViews>
    <sheetView tabSelected="1" workbookViewId="0">
      <selection activeCell="C12" sqref="C12"/>
    </sheetView>
  </sheetViews>
  <sheetFormatPr baseColWidth="10" defaultRowHeight="16" x14ac:dyDescent="0.2"/>
  <cols>
    <col min="1" max="1" width="13" bestFit="1" customWidth="1"/>
    <col min="2" max="2" width="9.83203125" bestFit="1" customWidth="1"/>
    <col min="3" max="3" width="10.5" style="5" bestFit="1" customWidth="1"/>
    <col min="4" max="4" width="20.6640625" bestFit="1" customWidth="1"/>
    <col min="5" max="5" width="14.83203125" bestFit="1" customWidth="1"/>
    <col min="6" max="6" width="7.83203125" bestFit="1" customWidth="1"/>
    <col min="7" max="7" width="9.33203125" bestFit="1" customWidth="1"/>
    <col min="8" max="8" width="7.83203125" bestFit="1" customWidth="1"/>
    <col min="9" max="9" width="8.33203125" style="7" bestFit="1" customWidth="1"/>
    <col min="10" max="10" width="7.1640625" bestFit="1" customWidth="1"/>
    <col min="11" max="11" width="15.5" bestFit="1" customWidth="1"/>
    <col min="12" max="12" width="9.1640625" bestFit="1" customWidth="1"/>
  </cols>
  <sheetData>
    <row r="1" spans="1:13" s="3" customFormat="1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2">
      <c r="A2">
        <v>1</v>
      </c>
      <c r="B2" t="s">
        <v>13</v>
      </c>
      <c r="C2" s="5">
        <v>45031</v>
      </c>
      <c r="D2" t="s">
        <v>14</v>
      </c>
      <c r="E2" t="s">
        <v>15</v>
      </c>
      <c r="F2" t="s">
        <v>16</v>
      </c>
      <c r="G2" t="s">
        <v>17</v>
      </c>
      <c r="H2">
        <v>3</v>
      </c>
      <c r="I2" s="7">
        <v>0</v>
      </c>
      <c r="J2" s="8">
        <v>59.97</v>
      </c>
      <c r="K2" t="str">
        <f>PROPER('Original Data'!K2)</f>
        <v>Debit Card</v>
      </c>
      <c r="M2" t="str" cm="1">
        <f t="array" ref="M2">_xlfn.IFS(OR('Original Data'!M2=0,'Original Data'!M2="No",'Original Data'!M2=FALSE),"No",OR('Original Data'!M2=1,'Original Data'!M2="Yes",'Original Data'!M2=TRUE),"Yes")</f>
        <v>No</v>
      </c>
    </row>
    <row r="3" spans="1:13" x14ac:dyDescent="0.2">
      <c r="A3">
        <v>2</v>
      </c>
      <c r="B3" t="s">
        <v>19</v>
      </c>
      <c r="C3" s="5">
        <v>45641</v>
      </c>
      <c r="D3" t="s">
        <v>20</v>
      </c>
      <c r="E3" t="s">
        <v>15</v>
      </c>
      <c r="F3" t="s">
        <v>21</v>
      </c>
      <c r="G3" t="s">
        <v>22</v>
      </c>
      <c r="H3">
        <v>4</v>
      </c>
      <c r="I3" s="7">
        <v>0.1</v>
      </c>
      <c r="J3">
        <v>323.82</v>
      </c>
      <c r="K3" t="str">
        <f>PROPER('Original Data'!K3)</f>
        <v>Debit Card</v>
      </c>
      <c r="L3" t="s">
        <v>23</v>
      </c>
      <c r="M3" t="str" cm="1">
        <f t="array" ref="M3">_xlfn.IFS(OR('Original Data'!M3=0,'Original Data'!M3="No",'Original Data'!M3=FALSE),"No",OR('Original Data'!M3=1,'Original Data'!M3="Yes",'Original Data'!M3=TRUE),"Yes")</f>
        <v>Yes</v>
      </c>
    </row>
    <row r="4" spans="1:13" x14ac:dyDescent="0.2">
      <c r="A4">
        <v>3</v>
      </c>
      <c r="B4" t="s">
        <v>24</v>
      </c>
      <c r="C4" s="5">
        <v>45492</v>
      </c>
      <c r="D4" t="str">
        <f>VLOOKUP(B4,'Original Data'!B:D,3,FALSE)</f>
        <v>NULL</v>
      </c>
      <c r="E4" t="str">
        <f>_xlfn.XLOOKUP('Cleaned Data'!B823,'Original Data'!B:B,'Original Data'!E:E)</f>
        <v>Banana Republic</v>
      </c>
      <c r="F4" t="s">
        <v>26</v>
      </c>
      <c r="G4" t="s">
        <v>22</v>
      </c>
      <c r="H4">
        <v>5</v>
      </c>
      <c r="I4" s="7">
        <v>0</v>
      </c>
      <c r="J4">
        <v>224.75</v>
      </c>
      <c r="K4" t="str">
        <f>PROPER('Original Data'!K4)</f>
        <v>Credit Card</v>
      </c>
      <c r="L4" t="s">
        <v>28</v>
      </c>
      <c r="M4" t="s">
        <v>92</v>
      </c>
    </row>
    <row r="5" spans="1:13" x14ac:dyDescent="0.2">
      <c r="A5">
        <v>4</v>
      </c>
      <c r="B5" t="s">
        <v>19</v>
      </c>
      <c r="C5" s="5">
        <v>45577</v>
      </c>
      <c r="D5" t="str">
        <f>VLOOKUP(B5,'Original Data'!B:D,3,FALSE)</f>
        <v>Denim Jacket</v>
      </c>
      <c r="E5" t="str">
        <f>_xlfn.XLOOKUP('Cleaned Data'!B407,'Original Data'!B:B,'Original Data'!E:E)</f>
        <v>Athleta</v>
      </c>
      <c r="F5" t="s">
        <v>16</v>
      </c>
      <c r="G5" t="s">
        <v>17</v>
      </c>
      <c r="H5">
        <v>1</v>
      </c>
      <c r="I5" s="7">
        <v>0.2</v>
      </c>
      <c r="J5">
        <v>71.959999999999994</v>
      </c>
      <c r="K5" t="str">
        <f>PROPER('Original Data'!K5)</f>
        <v>Gift Card</v>
      </c>
      <c r="L5" t="s">
        <v>30</v>
      </c>
      <c r="M5" t="s">
        <v>92</v>
      </c>
    </row>
    <row r="6" spans="1:13" x14ac:dyDescent="0.2">
      <c r="A6">
        <v>5</v>
      </c>
      <c r="B6" t="s">
        <v>31</v>
      </c>
      <c r="C6" s="5">
        <v>45631</v>
      </c>
      <c r="D6" t="s">
        <v>32</v>
      </c>
      <c r="E6" t="s">
        <v>33</v>
      </c>
      <c r="F6" t="s">
        <v>34</v>
      </c>
      <c r="G6" t="s">
        <v>35</v>
      </c>
      <c r="H6">
        <v>4</v>
      </c>
      <c r="I6" s="7">
        <v>0</v>
      </c>
      <c r="J6">
        <v>319.8</v>
      </c>
      <c r="K6" t="str">
        <f>PROPER('Original Data'!K6)</f>
        <v>Apple Pay</v>
      </c>
      <c r="M6" t="str" cm="1">
        <f t="array" ref="M6">_xlfn.IFS(OR('Original Data'!M6=0,'Original Data'!M6="No",'Original Data'!M6=FALSE),"No",OR('Original Data'!M6=1,'Original Data'!M6="Yes",'Original Data'!M6=TRUE),"Yes")</f>
        <v>No</v>
      </c>
    </row>
    <row r="7" spans="1:13" x14ac:dyDescent="0.2">
      <c r="A7">
        <v>6</v>
      </c>
      <c r="B7" t="s">
        <v>37</v>
      </c>
      <c r="C7" s="5">
        <v>45198</v>
      </c>
      <c r="D7" t="s">
        <v>38</v>
      </c>
      <c r="E7" t="s">
        <v>39</v>
      </c>
      <c r="F7" t="s">
        <v>40</v>
      </c>
      <c r="G7" t="s">
        <v>17</v>
      </c>
      <c r="H7">
        <v>4</v>
      </c>
      <c r="I7" s="7">
        <v>0.2</v>
      </c>
      <c r="J7">
        <v>207.84</v>
      </c>
      <c r="K7" t="str">
        <f>PROPER('Original Data'!K7)</f>
        <v>Debit Card</v>
      </c>
      <c r="L7" t="s">
        <v>41</v>
      </c>
      <c r="M7" t="str" cm="1">
        <f t="array" ref="M7">_xlfn.IFS(OR('Original Data'!M7=0,'Original Data'!M7="No",'Original Data'!M7=FALSE),"No",OR('Original Data'!M7=1,'Original Data'!M7="Yes",'Original Data'!M7=TRUE),"Yes")</f>
        <v>Yes</v>
      </c>
    </row>
    <row r="8" spans="1:13" x14ac:dyDescent="0.2">
      <c r="A8">
        <v>7</v>
      </c>
      <c r="B8" t="s">
        <v>42</v>
      </c>
      <c r="C8" s="5">
        <v>45090</v>
      </c>
      <c r="D8" t="s">
        <v>91</v>
      </c>
      <c r="E8" t="s">
        <v>15</v>
      </c>
      <c r="F8" t="s">
        <v>44</v>
      </c>
      <c r="H8">
        <v>1</v>
      </c>
      <c r="I8" s="7">
        <v>0</v>
      </c>
      <c r="J8">
        <v>129</v>
      </c>
      <c r="K8" t="str">
        <f>PROPER('Original Data'!K8)</f>
        <v>Apple Pay</v>
      </c>
      <c r="L8" t="s">
        <v>45</v>
      </c>
      <c r="M8" t="str" cm="1">
        <f t="array" ref="M8">_xlfn.IFS(OR('Original Data'!M8=0,'Original Data'!M8="No",'Original Data'!M8=FALSE),"No",OR('Original Data'!M8=1,'Original Data'!M8="Yes",'Original Data'!M8=TRUE),"Yes")</f>
        <v>Yes</v>
      </c>
    </row>
    <row r="9" spans="1:13" x14ac:dyDescent="0.2">
      <c r="A9">
        <v>8</v>
      </c>
      <c r="B9" t="s">
        <v>46</v>
      </c>
      <c r="C9" s="5">
        <v>45227</v>
      </c>
      <c r="D9" t="s">
        <v>47</v>
      </c>
      <c r="E9" t="s">
        <v>48</v>
      </c>
      <c r="F9" t="s">
        <v>26</v>
      </c>
      <c r="G9" t="s">
        <v>22</v>
      </c>
      <c r="H9">
        <v>5</v>
      </c>
      <c r="I9" s="7">
        <v>0.1</v>
      </c>
      <c r="J9">
        <v>224.78</v>
      </c>
      <c r="K9" t="str">
        <f>PROPER('Original Data'!K9)</f>
        <v>Credit Card</v>
      </c>
      <c r="L9" t="s">
        <v>49</v>
      </c>
      <c r="M9" t="str" cm="1">
        <f t="array" ref="M9">_xlfn.IFS(OR('Original Data'!M9=0,'Original Data'!M9="No",'Original Data'!M9=FALSE),"No",OR('Original Data'!M9=1,'Original Data'!M9="Yes",'Original Data'!M9=TRUE),"Yes")</f>
        <v>No</v>
      </c>
    </row>
    <row r="10" spans="1:13" x14ac:dyDescent="0.2">
      <c r="A10">
        <v>9</v>
      </c>
      <c r="B10" t="s">
        <v>50</v>
      </c>
      <c r="C10" s="5">
        <v>45092</v>
      </c>
      <c r="D10" t="s">
        <v>51</v>
      </c>
      <c r="E10" t="s">
        <v>15</v>
      </c>
      <c r="F10" t="s">
        <v>16</v>
      </c>
      <c r="G10" t="s">
        <v>17</v>
      </c>
      <c r="H10">
        <v>5</v>
      </c>
      <c r="I10" s="7">
        <v>0.05</v>
      </c>
      <c r="J10">
        <v>332.26</v>
      </c>
      <c r="K10" t="str">
        <f>PROPER('Original Data'!K10)</f>
        <v>Cash</v>
      </c>
      <c r="L10" t="s">
        <v>45</v>
      </c>
      <c r="M10" t="str" cm="1">
        <f t="array" ref="M10">_xlfn.IFS(OR('Original Data'!M10=0,'Original Data'!M10="No",'Original Data'!M10=FALSE),"No",OR('Original Data'!M10=1,'Original Data'!M10="Yes",'Original Data'!M10=TRUE),"Yes")</f>
        <v>No</v>
      </c>
    </row>
    <row r="11" spans="1:13" x14ac:dyDescent="0.2">
      <c r="A11">
        <v>10</v>
      </c>
      <c r="B11" t="s">
        <v>19</v>
      </c>
      <c r="C11" s="5">
        <v>45424</v>
      </c>
      <c r="D11" t="s">
        <v>20</v>
      </c>
      <c r="E11" t="s">
        <v>15</v>
      </c>
      <c r="F11" t="s">
        <v>53</v>
      </c>
      <c r="G11" t="s">
        <v>54</v>
      </c>
      <c r="H11">
        <v>1</v>
      </c>
      <c r="I11" s="7">
        <v>0.05</v>
      </c>
      <c r="J11">
        <v>85.45</v>
      </c>
      <c r="K11" t="str">
        <f>PROPER('Original Data'!K11)</f>
        <v>Credit Card</v>
      </c>
      <c r="L11" t="s">
        <v>55</v>
      </c>
      <c r="M11" t="str" cm="1">
        <f t="array" ref="M11">_xlfn.IFS(OR('Original Data'!M11=0,'Original Data'!M11="No",'Original Data'!M11=FALSE),"No",OR('Original Data'!M11=1,'Original Data'!M11="Yes",'Original Data'!M11=TRUE),"Yes")</f>
        <v>Yes</v>
      </c>
    </row>
    <row r="12" spans="1:13" x14ac:dyDescent="0.2">
      <c r="A12">
        <v>11</v>
      </c>
      <c r="B12" t="s">
        <v>56</v>
      </c>
      <c r="C12" s="5">
        <v>45592</v>
      </c>
      <c r="D12" t="s">
        <v>57</v>
      </c>
      <c r="E12" t="s">
        <v>48</v>
      </c>
      <c r="F12" t="s">
        <v>34</v>
      </c>
      <c r="G12" t="s">
        <v>35</v>
      </c>
      <c r="H12">
        <v>2</v>
      </c>
      <c r="I12" s="7">
        <v>0.1</v>
      </c>
      <c r="J12">
        <v>153</v>
      </c>
      <c r="K12" t="str">
        <f>PROPER('Original Data'!K12)</f>
        <v>Apple Pay</v>
      </c>
      <c r="L12" t="s">
        <v>28</v>
      </c>
      <c r="M12" t="str" cm="1">
        <f t="array" ref="M12">_xlfn.IFS(OR('Original Data'!M12=0,'Original Data'!M12="No",'Original Data'!M12=FALSE),"No",OR('Original Data'!M12=1,'Original Data'!M12="Yes",'Original Data'!M12=TRUE),"Yes")</f>
        <v>Yes</v>
      </c>
    </row>
    <row r="13" spans="1:13" x14ac:dyDescent="0.2">
      <c r="A13">
        <v>12</v>
      </c>
      <c r="B13" t="s">
        <v>58</v>
      </c>
      <c r="C13" s="5">
        <v>44999</v>
      </c>
      <c r="D13" t="s">
        <v>59</v>
      </c>
      <c r="E13" t="s">
        <v>15</v>
      </c>
      <c r="F13" t="s">
        <v>16</v>
      </c>
      <c r="G13" t="s">
        <v>17</v>
      </c>
      <c r="H13">
        <v>2</v>
      </c>
      <c r="I13" s="7">
        <v>0</v>
      </c>
      <c r="J13">
        <v>119.9</v>
      </c>
      <c r="K13" t="str">
        <f>PROPER('Original Data'!K13)</f>
        <v>Cash</v>
      </c>
      <c r="L13" t="s">
        <v>23</v>
      </c>
      <c r="M13" t="str" cm="1">
        <f t="array" ref="M13">_xlfn.IFS(OR('Original Data'!M13=0,'Original Data'!M13="No",'Original Data'!M13=FALSE),"No",OR('Original Data'!M13=1,'Original Data'!M13="Yes",'Original Data'!M13=TRUE),"Yes")</f>
        <v>Yes</v>
      </c>
    </row>
    <row r="14" spans="1:13" x14ac:dyDescent="0.2">
      <c r="A14">
        <v>13</v>
      </c>
      <c r="B14" t="s">
        <v>37</v>
      </c>
      <c r="C14" s="5">
        <v>45360</v>
      </c>
      <c r="D14" t="s">
        <v>38</v>
      </c>
      <c r="E14" t="s">
        <v>39</v>
      </c>
      <c r="F14" t="s">
        <v>21</v>
      </c>
      <c r="G14" t="s">
        <v>22</v>
      </c>
      <c r="H14">
        <v>1</v>
      </c>
      <c r="I14" s="7">
        <v>0</v>
      </c>
      <c r="J14">
        <v>64.95</v>
      </c>
      <c r="K14" t="str">
        <f>PROPER('Original Data'!K14)</f>
        <v>Cash</v>
      </c>
      <c r="L14" t="s">
        <v>28</v>
      </c>
      <c r="M14" t="str" cm="1">
        <f t="array" ref="M14">_xlfn.IFS(OR('Original Data'!M14=0,'Original Data'!M14="No",'Original Data'!M14=FALSE),"No",OR('Original Data'!M14=1,'Original Data'!M14="Yes",'Original Data'!M14=TRUE),"Yes")</f>
        <v>Yes</v>
      </c>
    </row>
    <row r="15" spans="1:13" x14ac:dyDescent="0.2">
      <c r="A15">
        <v>14</v>
      </c>
      <c r="B15" t="s">
        <v>37</v>
      </c>
      <c r="C15" s="5">
        <v>45114</v>
      </c>
      <c r="D15" t="s">
        <v>38</v>
      </c>
      <c r="E15" t="s">
        <v>39</v>
      </c>
      <c r="F15" t="s">
        <v>34</v>
      </c>
      <c r="G15" t="s">
        <v>35</v>
      </c>
      <c r="H15">
        <v>2</v>
      </c>
      <c r="I15" s="7">
        <v>0.25</v>
      </c>
      <c r="J15">
        <v>97.43</v>
      </c>
      <c r="K15" t="str">
        <f>PROPER('Original Data'!K15)</f>
        <v>Gift Card</v>
      </c>
      <c r="L15" t="s">
        <v>45</v>
      </c>
      <c r="M15" t="str" cm="1">
        <f t="array" ref="M15">_xlfn.IFS(OR('Original Data'!M15=0,'Original Data'!M15="No",'Original Data'!M15=FALSE),"No",OR('Original Data'!M15=1,'Original Data'!M15="Yes",'Original Data'!M15=TRUE),"Yes")</f>
        <v>Yes</v>
      </c>
    </row>
    <row r="16" spans="1:13" x14ac:dyDescent="0.2">
      <c r="A16">
        <v>15</v>
      </c>
      <c r="B16" t="s">
        <v>42</v>
      </c>
      <c r="C16" s="5">
        <v>45419</v>
      </c>
      <c r="D16" t="s">
        <v>91</v>
      </c>
      <c r="E16" t="s">
        <v>15</v>
      </c>
      <c r="F16" t="s">
        <v>26</v>
      </c>
      <c r="G16" t="s">
        <v>22</v>
      </c>
      <c r="H16">
        <v>2</v>
      </c>
      <c r="I16" s="7">
        <v>0</v>
      </c>
      <c r="J16">
        <v>258</v>
      </c>
      <c r="K16" t="str">
        <f>PROPER('Original Data'!K16)</f>
        <v>Gift Card</v>
      </c>
      <c r="L16" t="s">
        <v>28</v>
      </c>
      <c r="M16" t="str" cm="1">
        <f t="array" ref="M16">_xlfn.IFS(OR('Original Data'!M16=0,'Original Data'!M16="No",'Original Data'!M16=FALSE),"No",OR('Original Data'!M16=1,'Original Data'!M16="Yes",'Original Data'!M16=TRUE),"Yes")</f>
        <v>Yes</v>
      </c>
    </row>
    <row r="17" spans="1:13" x14ac:dyDescent="0.2">
      <c r="A17">
        <v>16</v>
      </c>
      <c r="B17" t="s">
        <v>61</v>
      </c>
      <c r="C17" s="5">
        <v>45520</v>
      </c>
      <c r="D17" t="s">
        <v>62</v>
      </c>
      <c r="E17" t="s">
        <v>33</v>
      </c>
      <c r="F17" t="s">
        <v>44</v>
      </c>
      <c r="H17">
        <v>2</v>
      </c>
      <c r="I17" s="7">
        <v>0.1</v>
      </c>
      <c r="J17">
        <v>62.98</v>
      </c>
      <c r="K17" t="str">
        <f>PROPER('Original Data'!K17)</f>
        <v>Credit Card</v>
      </c>
      <c r="L17" t="s">
        <v>63</v>
      </c>
      <c r="M17" t="str" cm="1">
        <f t="array" ref="M17">_xlfn.IFS(OR('Original Data'!M17=0,'Original Data'!M17="No",'Original Data'!M17=FALSE),"No",OR('Original Data'!M17=1,'Original Data'!M17="Yes",'Original Data'!M17=TRUE),"Yes")</f>
        <v>No</v>
      </c>
    </row>
    <row r="18" spans="1:13" x14ac:dyDescent="0.2">
      <c r="A18">
        <v>17</v>
      </c>
      <c r="B18" t="s">
        <v>31</v>
      </c>
      <c r="C18" s="5">
        <v>45049</v>
      </c>
      <c r="D18" t="s">
        <v>32</v>
      </c>
      <c r="E18" t="s">
        <v>33</v>
      </c>
      <c r="F18" t="s">
        <v>16</v>
      </c>
      <c r="G18" t="s">
        <v>17</v>
      </c>
      <c r="H18">
        <v>1</v>
      </c>
      <c r="I18" s="7">
        <v>0</v>
      </c>
      <c r="J18">
        <v>79.95</v>
      </c>
      <c r="K18" t="str">
        <f>PROPER('Original Data'!K18)</f>
        <v>Gift Card</v>
      </c>
      <c r="L18" t="s">
        <v>63</v>
      </c>
      <c r="M18" t="str" cm="1">
        <f t="array" ref="M18">_xlfn.IFS(OR('Original Data'!M18=0,'Original Data'!M18="No",'Original Data'!M18=FALSE),"No",OR('Original Data'!M18=1,'Original Data'!M18="Yes",'Original Data'!M18=TRUE),"Yes")</f>
        <v>No</v>
      </c>
    </row>
    <row r="19" spans="1:13" x14ac:dyDescent="0.2">
      <c r="A19">
        <v>18</v>
      </c>
      <c r="B19" t="s">
        <v>19</v>
      </c>
      <c r="C19" s="5">
        <v>45587</v>
      </c>
      <c r="D19" t="s">
        <v>20</v>
      </c>
      <c r="E19" t="s">
        <v>15</v>
      </c>
      <c r="F19" t="s">
        <v>40</v>
      </c>
      <c r="G19" t="s">
        <v>17</v>
      </c>
      <c r="H19">
        <v>3</v>
      </c>
      <c r="I19" s="7">
        <v>0</v>
      </c>
      <c r="J19">
        <v>269.85000000000002</v>
      </c>
      <c r="K19" t="str">
        <f>PROPER('Original Data'!K19)</f>
        <v>Apple Pay</v>
      </c>
      <c r="L19" t="s">
        <v>45</v>
      </c>
      <c r="M19" t="str" cm="1">
        <f t="array" ref="M19">_xlfn.IFS(OR('Original Data'!M19=0,'Original Data'!M19="No",'Original Data'!M19=FALSE),"No",OR('Original Data'!M19=1,'Original Data'!M19="Yes",'Original Data'!M19=TRUE),"Yes")</f>
        <v>Yes</v>
      </c>
    </row>
    <row r="20" spans="1:13" x14ac:dyDescent="0.2">
      <c r="A20">
        <v>19</v>
      </c>
      <c r="B20" t="s">
        <v>19</v>
      </c>
      <c r="C20" s="5">
        <v>45483</v>
      </c>
      <c r="D20" t="s">
        <v>20</v>
      </c>
      <c r="E20" t="s">
        <v>15</v>
      </c>
      <c r="F20" t="s">
        <v>16</v>
      </c>
      <c r="G20" t="s">
        <v>17</v>
      </c>
      <c r="H20">
        <v>3</v>
      </c>
      <c r="I20" s="7">
        <v>0.1</v>
      </c>
      <c r="J20">
        <v>242.87</v>
      </c>
      <c r="K20" t="str">
        <f>PROPER('Original Data'!K20)</f>
        <v>Gift Card</v>
      </c>
      <c r="L20" t="s">
        <v>45</v>
      </c>
      <c r="M20" t="str" cm="1">
        <f t="array" ref="M20">_xlfn.IFS(OR('Original Data'!M20=0,'Original Data'!M20="No",'Original Data'!M20=FALSE),"No",OR('Original Data'!M20=1,'Original Data'!M20="Yes",'Original Data'!M20=TRUE),"Yes")</f>
        <v>Yes</v>
      </c>
    </row>
    <row r="21" spans="1:13" x14ac:dyDescent="0.2">
      <c r="A21">
        <v>20</v>
      </c>
      <c r="B21" t="s">
        <v>64</v>
      </c>
      <c r="C21" s="5">
        <v>45215</v>
      </c>
      <c r="D21" t="s">
        <v>65</v>
      </c>
      <c r="E21" t="s">
        <v>33</v>
      </c>
      <c r="F21" t="s">
        <v>66</v>
      </c>
      <c r="G21" t="s">
        <v>67</v>
      </c>
      <c r="H21">
        <v>1</v>
      </c>
      <c r="I21" s="7">
        <v>0</v>
      </c>
      <c r="J21">
        <v>74.95</v>
      </c>
      <c r="K21" t="str">
        <f>PROPER('Original Data'!K21)</f>
        <v>Cash</v>
      </c>
      <c r="L21" t="s">
        <v>45</v>
      </c>
      <c r="M21" t="str" cm="1">
        <f t="array" ref="M21">_xlfn.IFS(OR('Original Data'!M21=0,'Original Data'!M21="No",'Original Data'!M21=FALSE),"No",OR('Original Data'!M21=1,'Original Data'!M21="Yes",'Original Data'!M21=TRUE),"Yes")</f>
        <v>No</v>
      </c>
    </row>
    <row r="22" spans="1:13" x14ac:dyDescent="0.2">
      <c r="A22">
        <v>21</v>
      </c>
      <c r="B22" t="s">
        <v>64</v>
      </c>
      <c r="C22" s="5">
        <v>45579</v>
      </c>
      <c r="D22" t="s">
        <v>65</v>
      </c>
      <c r="E22" t="s">
        <v>33</v>
      </c>
      <c r="F22" t="s">
        <v>21</v>
      </c>
      <c r="G22" t="s">
        <v>22</v>
      </c>
      <c r="H22">
        <v>1</v>
      </c>
      <c r="I22" s="7">
        <v>0</v>
      </c>
      <c r="J22">
        <v>74.95</v>
      </c>
      <c r="K22" t="str">
        <f>PROPER('Original Data'!K22)</f>
        <v>Debit Card</v>
      </c>
      <c r="L22" t="s">
        <v>49</v>
      </c>
      <c r="M22" t="str" cm="1">
        <f t="array" ref="M22">_xlfn.IFS(OR('Original Data'!M22=0,'Original Data'!M22="No",'Original Data'!M22=FALSE),"No",OR('Original Data'!M22=1,'Original Data'!M22="Yes",'Original Data'!M22=TRUE),"Yes")</f>
        <v>No</v>
      </c>
    </row>
    <row r="23" spans="1:13" x14ac:dyDescent="0.2">
      <c r="A23">
        <v>22</v>
      </c>
      <c r="B23" t="s">
        <v>68</v>
      </c>
      <c r="C23" s="5">
        <v>44969</v>
      </c>
      <c r="D23" t="s">
        <v>69</v>
      </c>
      <c r="E23" t="s">
        <v>33</v>
      </c>
      <c r="F23" t="s">
        <v>26</v>
      </c>
      <c r="G23" t="s">
        <v>22</v>
      </c>
      <c r="H23">
        <v>5</v>
      </c>
      <c r="I23" s="7">
        <v>0</v>
      </c>
      <c r="J23">
        <v>595</v>
      </c>
      <c r="K23" t="str">
        <f>PROPER('Original Data'!K23)</f>
        <v>Debit Card</v>
      </c>
      <c r="L23" t="s">
        <v>28</v>
      </c>
      <c r="M23" t="str" cm="1">
        <f t="array" ref="M23">_xlfn.IFS(OR('Original Data'!M23=0,'Original Data'!M23="No",'Original Data'!M23=FALSE),"No",OR('Original Data'!M23=1,'Original Data'!M23="Yes",'Original Data'!M23=TRUE),"Yes")</f>
        <v>No</v>
      </c>
    </row>
    <row r="24" spans="1:13" x14ac:dyDescent="0.2">
      <c r="A24">
        <v>23</v>
      </c>
      <c r="B24" t="s">
        <v>71</v>
      </c>
      <c r="C24" s="5">
        <v>45349</v>
      </c>
      <c r="D24" t="s">
        <v>72</v>
      </c>
      <c r="E24" t="s">
        <v>33</v>
      </c>
      <c r="F24" t="s">
        <v>21</v>
      </c>
      <c r="G24" t="s">
        <v>22</v>
      </c>
      <c r="H24">
        <v>2</v>
      </c>
      <c r="I24" s="7">
        <v>0.05</v>
      </c>
      <c r="J24">
        <v>113.9</v>
      </c>
      <c r="K24" t="str">
        <f>PROPER('Original Data'!K24)</f>
        <v>Debit Card</v>
      </c>
      <c r="L24" t="s">
        <v>45</v>
      </c>
      <c r="M24" t="str" cm="1">
        <f t="array" ref="M24">_xlfn.IFS(OR('Original Data'!M24=0,'Original Data'!M24="No",'Original Data'!M24=FALSE),"No",OR('Original Data'!M24=1,'Original Data'!M24="Yes",'Original Data'!M24=TRUE),"Yes")</f>
        <v>Yes</v>
      </c>
    </row>
    <row r="25" spans="1:13" x14ac:dyDescent="0.2">
      <c r="A25">
        <v>24</v>
      </c>
      <c r="B25" t="s">
        <v>74</v>
      </c>
      <c r="C25" s="5">
        <v>45398</v>
      </c>
      <c r="D25" t="s">
        <v>75</v>
      </c>
      <c r="E25" t="s">
        <v>76</v>
      </c>
      <c r="F25" t="s">
        <v>16</v>
      </c>
      <c r="G25" t="s">
        <v>17</v>
      </c>
      <c r="H25">
        <v>1</v>
      </c>
      <c r="J25">
        <v>44.95</v>
      </c>
      <c r="K25" t="str">
        <f>PROPER('Original Data'!K25)</f>
        <v>Debit Card</v>
      </c>
      <c r="M25" t="str" cm="1">
        <f t="array" ref="M25">_xlfn.IFS(OR('Original Data'!M25=0,'Original Data'!M25="No",'Original Data'!M25=FALSE),"No",OR('Original Data'!M25=1,'Original Data'!M25="Yes",'Original Data'!M25=TRUE),"Yes")</f>
        <v>No</v>
      </c>
    </row>
    <row r="26" spans="1:13" x14ac:dyDescent="0.2">
      <c r="A26">
        <v>25</v>
      </c>
      <c r="B26" t="s">
        <v>78</v>
      </c>
      <c r="C26" s="5">
        <v>45194</v>
      </c>
      <c r="D26" t="s">
        <v>79</v>
      </c>
      <c r="E26" t="s">
        <v>48</v>
      </c>
      <c r="F26" t="s">
        <v>40</v>
      </c>
      <c r="G26" t="s">
        <v>17</v>
      </c>
      <c r="H26">
        <v>4</v>
      </c>
      <c r="I26" s="7">
        <v>0.15</v>
      </c>
      <c r="J26">
        <v>135.83000000000001</v>
      </c>
      <c r="K26" t="str">
        <f>PROPER('Original Data'!K26)</f>
        <v>Credit Card</v>
      </c>
      <c r="L26" t="s">
        <v>23</v>
      </c>
      <c r="M26" t="str" cm="1">
        <f t="array" ref="M26">_xlfn.IFS(OR('Original Data'!M26=0,'Original Data'!M26="No",'Original Data'!M26=FALSE),"No",OR('Original Data'!M26=1,'Original Data'!M26="Yes",'Original Data'!M26=TRUE),"Yes")</f>
        <v>Yes</v>
      </c>
    </row>
    <row r="27" spans="1:13" x14ac:dyDescent="0.2">
      <c r="A27">
        <v>26</v>
      </c>
      <c r="B27" t="s">
        <v>74</v>
      </c>
      <c r="C27" s="5">
        <v>45652</v>
      </c>
      <c r="D27" t="s">
        <v>75</v>
      </c>
      <c r="E27" t="s">
        <v>76</v>
      </c>
      <c r="G27" t="s">
        <v>25</v>
      </c>
      <c r="H27">
        <v>5</v>
      </c>
      <c r="I27" s="7">
        <v>0.05</v>
      </c>
      <c r="J27">
        <v>213.51</v>
      </c>
      <c r="K27" t="str">
        <f>PROPER('Original Data'!K27)</f>
        <v>Credit Card</v>
      </c>
      <c r="L27" t="s">
        <v>30</v>
      </c>
      <c r="M27" t="str" cm="1">
        <f t="array" ref="M27">_xlfn.IFS(OR('Original Data'!M27=0,'Original Data'!M27="No",'Original Data'!M27=FALSE),"No",OR('Original Data'!M27=1,'Original Data'!M27="Yes",'Original Data'!M27=TRUE),"Yes")</f>
        <v>No</v>
      </c>
    </row>
    <row r="28" spans="1:13" x14ac:dyDescent="0.2">
      <c r="A28">
        <v>27</v>
      </c>
      <c r="B28" t="s">
        <v>71</v>
      </c>
      <c r="C28" s="5">
        <v>45243</v>
      </c>
      <c r="D28" t="s">
        <v>72</v>
      </c>
      <c r="E28" t="s">
        <v>33</v>
      </c>
      <c r="F28" t="s">
        <v>40</v>
      </c>
      <c r="G28" t="s">
        <v>17</v>
      </c>
      <c r="H28">
        <v>3</v>
      </c>
      <c r="I28" s="7">
        <v>0</v>
      </c>
      <c r="J28">
        <v>179.85</v>
      </c>
      <c r="K28" t="s">
        <v>90</v>
      </c>
      <c r="L28" t="s">
        <v>30</v>
      </c>
      <c r="M28" t="str" cm="1">
        <f t="array" ref="M28">_xlfn.IFS(OR('Original Data'!M28=0,'Original Data'!M28="No",'Original Data'!M28=FALSE),"No",OR('Original Data'!M28=1,'Original Data'!M28="Yes",'Original Data'!M28=TRUE),"Yes")</f>
        <v>Yes</v>
      </c>
    </row>
    <row r="29" spans="1:13" x14ac:dyDescent="0.2">
      <c r="A29">
        <v>28</v>
      </c>
      <c r="B29" t="s">
        <v>74</v>
      </c>
      <c r="C29" s="5">
        <v>45142</v>
      </c>
      <c r="D29" t="s">
        <v>75</v>
      </c>
      <c r="E29" t="s">
        <v>76</v>
      </c>
      <c r="F29" t="s">
        <v>53</v>
      </c>
      <c r="G29" t="s">
        <v>54</v>
      </c>
      <c r="H29">
        <v>5</v>
      </c>
      <c r="I29" s="7">
        <v>0</v>
      </c>
      <c r="J29">
        <v>224.75</v>
      </c>
      <c r="K29" t="str">
        <f>PROPER('Original Data'!K29)</f>
        <v>Cash</v>
      </c>
      <c r="L29" t="s">
        <v>30</v>
      </c>
      <c r="M29" t="str" cm="1">
        <f t="array" ref="M29">_xlfn.IFS(OR('Original Data'!M29=0,'Original Data'!M29="No",'Original Data'!M29=FALSE),"No",OR('Original Data'!M29=1,'Original Data'!M29="Yes",'Original Data'!M29=TRUE),"Yes")</f>
        <v>No</v>
      </c>
    </row>
    <row r="30" spans="1:13" x14ac:dyDescent="0.2">
      <c r="A30">
        <v>29</v>
      </c>
      <c r="B30" t="s">
        <v>42</v>
      </c>
      <c r="C30" s="5">
        <v>45615</v>
      </c>
      <c r="D30" t="s">
        <v>91</v>
      </c>
      <c r="E30" t="s">
        <v>15</v>
      </c>
      <c r="F30" t="s">
        <v>66</v>
      </c>
      <c r="G30" t="s">
        <v>67</v>
      </c>
      <c r="H30">
        <v>3</v>
      </c>
      <c r="I30" s="7">
        <v>0.15</v>
      </c>
      <c r="J30">
        <v>328.95</v>
      </c>
      <c r="K30" t="str">
        <f>PROPER('Original Data'!K30)</f>
        <v>Debit Card</v>
      </c>
      <c r="L30" t="s">
        <v>55</v>
      </c>
      <c r="M30" t="str" cm="1">
        <f t="array" ref="M30">_xlfn.IFS(OR('Original Data'!M30=0,'Original Data'!M30="No",'Original Data'!M30=FALSE),"No",OR('Original Data'!M30=1,'Original Data'!M30="Yes",'Original Data'!M30=TRUE),"Yes")</f>
        <v>Yes</v>
      </c>
    </row>
    <row r="31" spans="1:13" x14ac:dyDescent="0.2">
      <c r="A31">
        <v>30</v>
      </c>
      <c r="B31" t="s">
        <v>74</v>
      </c>
      <c r="C31" s="5">
        <v>45598</v>
      </c>
      <c r="D31" t="s">
        <v>75</v>
      </c>
      <c r="E31" t="s">
        <v>76</v>
      </c>
      <c r="G31" t="s">
        <v>25</v>
      </c>
      <c r="H31">
        <v>4</v>
      </c>
      <c r="I31" s="7">
        <v>0.2</v>
      </c>
      <c r="J31">
        <v>143.84</v>
      </c>
      <c r="K31" t="str">
        <f>PROPER('Original Data'!K31)</f>
        <v>Debit Card</v>
      </c>
      <c r="L31" t="s">
        <v>63</v>
      </c>
      <c r="M31" t="str" cm="1">
        <f t="array" ref="M31">_xlfn.IFS(OR('Original Data'!M31=0,'Original Data'!M31="No",'Original Data'!M31=FALSE),"No",OR('Original Data'!M31=1,'Original Data'!M31="Yes",'Original Data'!M31=TRUE),"Yes")</f>
        <v>No</v>
      </c>
    </row>
    <row r="32" spans="1:13" x14ac:dyDescent="0.2">
      <c r="A32">
        <v>31</v>
      </c>
      <c r="B32" t="s">
        <v>56</v>
      </c>
      <c r="C32" s="5">
        <v>45402</v>
      </c>
      <c r="D32" t="s">
        <v>57</v>
      </c>
      <c r="E32" t="s">
        <v>48</v>
      </c>
      <c r="F32" t="s">
        <v>26</v>
      </c>
      <c r="G32" t="s">
        <v>22</v>
      </c>
      <c r="H32">
        <v>2</v>
      </c>
      <c r="I32" s="7">
        <v>0</v>
      </c>
      <c r="J32">
        <v>170</v>
      </c>
      <c r="K32" t="str">
        <f>PROPER('Original Data'!K32)</f>
        <v>Debit Card</v>
      </c>
      <c r="L32" t="s">
        <v>41</v>
      </c>
      <c r="M32" t="str" cm="1">
        <f t="array" ref="M32">_xlfn.IFS(OR('Original Data'!M32=0,'Original Data'!M32="No",'Original Data'!M32=FALSE),"No",OR('Original Data'!M32=1,'Original Data'!M32="Yes",'Original Data'!M32=TRUE),"Yes")</f>
        <v>Yes</v>
      </c>
    </row>
    <row r="33" spans="1:13" x14ac:dyDescent="0.2">
      <c r="A33">
        <v>32</v>
      </c>
      <c r="B33" t="s">
        <v>31</v>
      </c>
      <c r="C33" s="5">
        <v>45579</v>
      </c>
      <c r="D33" t="s">
        <v>32</v>
      </c>
      <c r="E33" t="s">
        <v>33</v>
      </c>
      <c r="F33" t="s">
        <v>44</v>
      </c>
      <c r="H33">
        <v>4</v>
      </c>
      <c r="I33" s="7">
        <v>0.25</v>
      </c>
      <c r="J33">
        <v>239.85</v>
      </c>
      <c r="K33" t="str">
        <f>PROPER('Original Data'!K33)</f>
        <v>Debit Card</v>
      </c>
      <c r="L33" t="s">
        <v>30</v>
      </c>
      <c r="M33" t="str" cm="1">
        <f t="array" ref="M33">_xlfn.IFS(OR('Original Data'!M33=0,'Original Data'!M33="No",'Original Data'!M33=FALSE),"No",OR('Original Data'!M33=1,'Original Data'!M33="Yes",'Original Data'!M33=TRUE),"Yes")</f>
        <v>No</v>
      </c>
    </row>
    <row r="34" spans="1:13" x14ac:dyDescent="0.2">
      <c r="A34">
        <v>33</v>
      </c>
      <c r="B34" t="s">
        <v>61</v>
      </c>
      <c r="C34" s="5">
        <v>45083</v>
      </c>
      <c r="D34" t="s">
        <v>62</v>
      </c>
      <c r="E34" t="s">
        <v>33</v>
      </c>
      <c r="F34" t="s">
        <v>16</v>
      </c>
      <c r="G34" t="s">
        <v>17</v>
      </c>
      <c r="H34">
        <v>2</v>
      </c>
      <c r="I34" s="7">
        <v>0.05</v>
      </c>
      <c r="J34">
        <v>66.48</v>
      </c>
      <c r="K34" t="str">
        <f>PROPER('Original Data'!K34)</f>
        <v>Apple Pay</v>
      </c>
      <c r="L34" t="s">
        <v>28</v>
      </c>
      <c r="M34" t="str" cm="1">
        <f t="array" ref="M34">_xlfn.IFS(OR('Original Data'!M34=0,'Original Data'!M34="No",'Original Data'!M34=FALSE),"No",OR('Original Data'!M34=1,'Original Data'!M34="Yes",'Original Data'!M34=TRUE),"Yes")</f>
        <v>No</v>
      </c>
    </row>
    <row r="35" spans="1:13" x14ac:dyDescent="0.2">
      <c r="A35">
        <v>34</v>
      </c>
      <c r="B35" t="s">
        <v>81</v>
      </c>
      <c r="C35" s="5">
        <v>45232</v>
      </c>
      <c r="D35" t="s">
        <v>82</v>
      </c>
      <c r="E35" t="s">
        <v>15</v>
      </c>
      <c r="F35" t="s">
        <v>26</v>
      </c>
      <c r="G35" t="s">
        <v>22</v>
      </c>
      <c r="H35">
        <v>4</v>
      </c>
      <c r="I35" s="7">
        <v>0.25</v>
      </c>
      <c r="J35">
        <v>239.85</v>
      </c>
      <c r="K35" t="str">
        <f>PROPER('Original Data'!K35)</f>
        <v>Cash</v>
      </c>
      <c r="L35" t="s">
        <v>23</v>
      </c>
      <c r="M35" t="str" cm="1">
        <f t="array" ref="M35">_xlfn.IFS(OR('Original Data'!M35=0,'Original Data'!M35="No",'Original Data'!M35=FALSE),"No",OR('Original Data'!M35=1,'Original Data'!M35="Yes",'Original Data'!M35=TRUE),"Yes")</f>
        <v>Yes</v>
      </c>
    </row>
    <row r="36" spans="1:13" x14ac:dyDescent="0.2">
      <c r="A36">
        <v>35</v>
      </c>
      <c r="B36" t="s">
        <v>83</v>
      </c>
      <c r="C36" s="5">
        <v>45622</v>
      </c>
      <c r="D36" t="s">
        <v>84</v>
      </c>
      <c r="E36" t="s">
        <v>48</v>
      </c>
      <c r="F36" t="s">
        <v>21</v>
      </c>
      <c r="G36" t="s">
        <v>22</v>
      </c>
      <c r="H36">
        <v>1</v>
      </c>
      <c r="I36" s="7">
        <v>0.2</v>
      </c>
      <c r="J36">
        <v>39.96</v>
      </c>
      <c r="K36" t="str">
        <f>PROPER('Original Data'!K36)</f>
        <v>Apple Pay</v>
      </c>
      <c r="L36" t="s">
        <v>49</v>
      </c>
      <c r="M36" t="str" cm="1">
        <f t="array" ref="M36">_xlfn.IFS(OR('Original Data'!M36=0,'Original Data'!M36="No",'Original Data'!M36=FALSE),"No",OR('Original Data'!M36=1,'Original Data'!M36="Yes",'Original Data'!M36=TRUE),"Yes")</f>
        <v>No</v>
      </c>
    </row>
    <row r="37" spans="1:13" x14ac:dyDescent="0.2">
      <c r="A37">
        <v>36</v>
      </c>
      <c r="B37" t="s">
        <v>85</v>
      </c>
      <c r="C37" s="5">
        <v>45193</v>
      </c>
      <c r="D37" t="s">
        <v>86</v>
      </c>
      <c r="E37" t="s">
        <v>76</v>
      </c>
      <c r="F37" t="s">
        <v>16</v>
      </c>
      <c r="G37" t="s">
        <v>17</v>
      </c>
      <c r="H37">
        <v>2</v>
      </c>
      <c r="I37" s="7">
        <v>0.25</v>
      </c>
      <c r="J37">
        <v>134.93</v>
      </c>
      <c r="K37" t="str">
        <f>PROPER('Original Data'!K37)</f>
        <v>Credit Card</v>
      </c>
      <c r="L37" t="s">
        <v>45</v>
      </c>
      <c r="M37" t="str" cm="1">
        <f t="array" ref="M37">_xlfn.IFS(OR('Original Data'!M37=0,'Original Data'!M37="No",'Original Data'!M37=FALSE),"No",OR('Original Data'!M37=1,'Original Data'!M37="Yes",'Original Data'!M37=TRUE),"Yes")</f>
        <v>Yes</v>
      </c>
    </row>
    <row r="38" spans="1:13" x14ac:dyDescent="0.2">
      <c r="A38">
        <v>37</v>
      </c>
      <c r="B38" t="s">
        <v>13</v>
      </c>
      <c r="C38" s="5">
        <v>45592</v>
      </c>
      <c r="D38" t="s">
        <v>14</v>
      </c>
      <c r="E38" t="s">
        <v>15</v>
      </c>
      <c r="F38" t="s">
        <v>44</v>
      </c>
      <c r="H38">
        <v>5</v>
      </c>
      <c r="I38" s="7">
        <v>0</v>
      </c>
      <c r="J38">
        <v>99.95</v>
      </c>
      <c r="K38" t="str">
        <f>PROPER('Original Data'!K38)</f>
        <v>Debit Card</v>
      </c>
      <c r="L38" t="s">
        <v>49</v>
      </c>
      <c r="M38" t="s">
        <v>92</v>
      </c>
    </row>
    <row r="39" spans="1:13" x14ac:dyDescent="0.2">
      <c r="A39">
        <v>38</v>
      </c>
      <c r="B39" t="s">
        <v>81</v>
      </c>
      <c r="C39" s="5">
        <v>45098</v>
      </c>
      <c r="D39" t="s">
        <v>82</v>
      </c>
      <c r="E39" t="s">
        <v>15</v>
      </c>
      <c r="F39" t="s">
        <v>16</v>
      </c>
      <c r="G39" t="s">
        <v>17</v>
      </c>
      <c r="H39">
        <v>2</v>
      </c>
      <c r="I39" s="7">
        <v>0.25</v>
      </c>
      <c r="J39">
        <v>119.93</v>
      </c>
      <c r="K39" t="str">
        <f>PROPER('Original Data'!K39)</f>
        <v>Cash</v>
      </c>
      <c r="M39" t="str" cm="1">
        <f t="array" ref="M39">_xlfn.IFS(OR('Original Data'!M39=0,'Original Data'!M39="No",'Original Data'!M39=FALSE),"No",OR('Original Data'!M39=1,'Original Data'!M39="Yes",'Original Data'!M39=TRUE),"Yes")</f>
        <v>Yes</v>
      </c>
    </row>
    <row r="40" spans="1:13" x14ac:dyDescent="0.2">
      <c r="A40">
        <v>39</v>
      </c>
      <c r="B40" t="s">
        <v>74</v>
      </c>
      <c r="C40" s="5">
        <v>45640</v>
      </c>
      <c r="D40" t="s">
        <v>75</v>
      </c>
      <c r="E40" t="s">
        <v>76</v>
      </c>
      <c r="F40" t="s">
        <v>21</v>
      </c>
      <c r="G40" t="s">
        <v>22</v>
      </c>
      <c r="H40">
        <v>2</v>
      </c>
      <c r="I40" s="7">
        <v>0</v>
      </c>
      <c r="J40">
        <v>89.9</v>
      </c>
      <c r="K40" t="str">
        <f>PROPER('Original Data'!K40)</f>
        <v>Credit Card</v>
      </c>
      <c r="L40" t="s">
        <v>63</v>
      </c>
      <c r="M40" t="str" cm="1">
        <f t="array" ref="M40">_xlfn.IFS(OR('Original Data'!M40=0,'Original Data'!M40="No",'Original Data'!M40=FALSE),"No",OR('Original Data'!M40=1,'Original Data'!M40="Yes",'Original Data'!M40=TRUE),"Yes")</f>
        <v>No</v>
      </c>
    </row>
    <row r="41" spans="1:13" x14ac:dyDescent="0.2">
      <c r="A41">
        <v>40</v>
      </c>
      <c r="B41" t="s">
        <v>13</v>
      </c>
      <c r="C41" s="5">
        <v>45297</v>
      </c>
      <c r="D41" t="s">
        <v>14</v>
      </c>
      <c r="E41" t="s">
        <v>15</v>
      </c>
      <c r="F41" t="s">
        <v>40</v>
      </c>
      <c r="G41" t="s">
        <v>17</v>
      </c>
      <c r="H41">
        <v>4</v>
      </c>
      <c r="I41" s="7">
        <v>0.25</v>
      </c>
      <c r="J41">
        <v>59.97</v>
      </c>
      <c r="K41" t="str">
        <f>PROPER('Original Data'!K41)</f>
        <v>Gift Card</v>
      </c>
      <c r="L41" t="s">
        <v>55</v>
      </c>
      <c r="M41" t="str" cm="1">
        <f t="array" ref="M41">_xlfn.IFS(OR('Original Data'!M41=0,'Original Data'!M41="No",'Original Data'!M41=FALSE),"No",OR('Original Data'!M41=1,'Original Data'!M41="Yes",'Original Data'!M41=TRUE),"Yes")</f>
        <v>No</v>
      </c>
    </row>
    <row r="42" spans="1:13" x14ac:dyDescent="0.2">
      <c r="A42">
        <v>41</v>
      </c>
      <c r="B42" t="s">
        <v>24</v>
      </c>
      <c r="C42" s="5">
        <v>45015</v>
      </c>
      <c r="D42" t="str">
        <f>VLOOKUP(B42,'Original Data'!B:D,3,FALSE)</f>
        <v>NULL</v>
      </c>
      <c r="E42" t="str">
        <f>_xlfn.XLOOKUP('Cleaned Data'!B824,'Original Data'!B:B,'Original Data'!E:E)</f>
        <v>Old Navy</v>
      </c>
      <c r="F42" t="s">
        <v>44</v>
      </c>
      <c r="H42">
        <v>4</v>
      </c>
      <c r="I42" s="7">
        <v>0.1</v>
      </c>
      <c r="J42">
        <v>161.82</v>
      </c>
      <c r="K42" t="str">
        <f>PROPER('Original Data'!K42)</f>
        <v>Debit Card</v>
      </c>
      <c r="L42" t="s">
        <v>49</v>
      </c>
      <c r="M42" t="s">
        <v>92</v>
      </c>
    </row>
    <row r="43" spans="1:13" x14ac:dyDescent="0.2">
      <c r="A43">
        <v>42</v>
      </c>
      <c r="B43" t="s">
        <v>68</v>
      </c>
      <c r="C43" s="5">
        <v>45645</v>
      </c>
      <c r="D43" t="s">
        <v>69</v>
      </c>
      <c r="E43" t="s">
        <v>33</v>
      </c>
      <c r="F43" t="s">
        <v>34</v>
      </c>
      <c r="G43" t="s">
        <v>35</v>
      </c>
      <c r="H43">
        <v>3</v>
      </c>
      <c r="I43" s="7">
        <v>0.15</v>
      </c>
      <c r="J43">
        <v>303.45</v>
      </c>
      <c r="K43" t="s">
        <v>90</v>
      </c>
      <c r="L43" t="s">
        <v>30</v>
      </c>
      <c r="M43" t="str" cm="1">
        <f t="array" ref="M43">_xlfn.IFS(OR('Original Data'!M43=0,'Original Data'!M43="No",'Original Data'!M43=FALSE),"No",OR('Original Data'!M43=1,'Original Data'!M43="Yes",'Original Data'!M43=TRUE),"Yes")</f>
        <v>No</v>
      </c>
    </row>
    <row r="44" spans="1:13" x14ac:dyDescent="0.2">
      <c r="A44">
        <v>43</v>
      </c>
      <c r="B44" t="s">
        <v>24</v>
      </c>
      <c r="C44" s="5">
        <v>45341</v>
      </c>
      <c r="D44" t="s">
        <v>87</v>
      </c>
      <c r="E44" t="s">
        <v>39</v>
      </c>
      <c r="F44" t="s">
        <v>44</v>
      </c>
      <c r="H44">
        <v>1</v>
      </c>
      <c r="I44" s="7">
        <v>0</v>
      </c>
      <c r="J44">
        <v>44.95</v>
      </c>
      <c r="K44" t="str">
        <f>PROPER('Original Data'!K44)</f>
        <v>Debit Card</v>
      </c>
      <c r="L44" t="s">
        <v>30</v>
      </c>
      <c r="M44" t="str" cm="1">
        <f t="array" ref="M44">_xlfn.IFS(OR('Original Data'!M44=0,'Original Data'!M44="No",'Original Data'!M44=FALSE),"No",OR('Original Data'!M44=1,'Original Data'!M44="Yes",'Original Data'!M44=TRUE),"Yes")</f>
        <v>Yes</v>
      </c>
    </row>
    <row r="45" spans="1:13" x14ac:dyDescent="0.2">
      <c r="A45">
        <v>44</v>
      </c>
      <c r="B45" t="s">
        <v>64</v>
      </c>
      <c r="C45" s="5">
        <v>45124</v>
      </c>
      <c r="D45" t="s">
        <v>65</v>
      </c>
      <c r="E45" t="s">
        <v>33</v>
      </c>
      <c r="F45" t="s">
        <v>44</v>
      </c>
      <c r="H45">
        <v>3</v>
      </c>
      <c r="I45" s="7">
        <v>0.1</v>
      </c>
      <c r="J45">
        <v>202.37</v>
      </c>
      <c r="K45" t="str">
        <f>PROPER('Original Data'!K45)</f>
        <v>Credit Card</v>
      </c>
      <c r="L45" t="s">
        <v>63</v>
      </c>
      <c r="M45" t="str" cm="1">
        <f t="array" ref="M45">_xlfn.IFS(OR('Original Data'!M45=0,'Original Data'!M45="No",'Original Data'!M45=FALSE),"No",OR('Original Data'!M45=1,'Original Data'!M45="Yes",'Original Data'!M45=TRUE),"Yes")</f>
        <v>No</v>
      </c>
    </row>
    <row r="46" spans="1:13" x14ac:dyDescent="0.2">
      <c r="A46">
        <v>45</v>
      </c>
      <c r="B46" t="s">
        <v>46</v>
      </c>
      <c r="C46" s="5">
        <v>45110</v>
      </c>
      <c r="D46" t="s">
        <v>47</v>
      </c>
      <c r="E46" t="s">
        <v>48</v>
      </c>
      <c r="G46" t="s">
        <v>25</v>
      </c>
      <c r="H46">
        <v>2</v>
      </c>
      <c r="I46" s="7">
        <v>0.1</v>
      </c>
      <c r="J46">
        <v>89.91</v>
      </c>
      <c r="K46" t="str">
        <f>PROPER('Original Data'!K46)</f>
        <v>Cash</v>
      </c>
      <c r="L46" t="s">
        <v>63</v>
      </c>
      <c r="M46" t="str" cm="1">
        <f t="array" ref="M46">_xlfn.IFS(OR('Original Data'!M46=0,'Original Data'!M46="No",'Original Data'!M46=FALSE),"No",OR('Original Data'!M46=1,'Original Data'!M46="Yes",'Original Data'!M46=TRUE),"Yes")</f>
        <v>No</v>
      </c>
    </row>
    <row r="47" spans="1:13" x14ac:dyDescent="0.2">
      <c r="A47">
        <v>46</v>
      </c>
      <c r="B47" t="s">
        <v>46</v>
      </c>
      <c r="C47" s="5">
        <v>45378</v>
      </c>
      <c r="D47" t="s">
        <v>47</v>
      </c>
      <c r="E47" t="s">
        <v>48</v>
      </c>
      <c r="F47" t="s">
        <v>44</v>
      </c>
      <c r="H47">
        <v>1</v>
      </c>
      <c r="I47" s="7">
        <v>0.1</v>
      </c>
      <c r="J47">
        <v>44.96</v>
      </c>
      <c r="K47" t="str">
        <f>PROPER('Original Data'!K47)</f>
        <v>Gift Card</v>
      </c>
      <c r="L47" t="s">
        <v>41</v>
      </c>
      <c r="M47" t="str" cm="1">
        <f t="array" ref="M47">_xlfn.IFS(OR('Original Data'!M47=0,'Original Data'!M47="No",'Original Data'!M47=FALSE),"No",OR('Original Data'!M47=1,'Original Data'!M47="Yes",'Original Data'!M47=TRUE),"Yes")</f>
        <v>No</v>
      </c>
    </row>
    <row r="48" spans="1:13" x14ac:dyDescent="0.2">
      <c r="A48">
        <v>47</v>
      </c>
      <c r="B48" t="s">
        <v>61</v>
      </c>
      <c r="C48" s="5">
        <v>45048</v>
      </c>
      <c r="D48" t="s">
        <v>62</v>
      </c>
      <c r="E48" t="s">
        <v>33</v>
      </c>
      <c r="F48" t="s">
        <v>26</v>
      </c>
      <c r="G48" t="s">
        <v>22</v>
      </c>
      <c r="H48">
        <v>2</v>
      </c>
      <c r="I48" s="7">
        <v>0.1</v>
      </c>
      <c r="J48">
        <v>62.98</v>
      </c>
      <c r="K48" t="str">
        <f>PROPER('Original Data'!K48)</f>
        <v>Debit Card</v>
      </c>
      <c r="L48" t="s">
        <v>55</v>
      </c>
      <c r="M48" t="str" cm="1">
        <f t="array" ref="M48">_xlfn.IFS(OR('Original Data'!M48=0,'Original Data'!M48="No",'Original Data'!M48=FALSE),"No",OR('Original Data'!M48=1,'Original Data'!M48="Yes",'Original Data'!M48=TRUE),"Yes")</f>
        <v>No</v>
      </c>
    </row>
    <row r="49" spans="1:13" x14ac:dyDescent="0.2">
      <c r="A49">
        <v>48</v>
      </c>
      <c r="B49" t="s">
        <v>50</v>
      </c>
      <c r="C49" s="5">
        <v>45567</v>
      </c>
      <c r="D49" t="s">
        <v>51</v>
      </c>
      <c r="E49" t="s">
        <v>15</v>
      </c>
      <c r="F49" t="s">
        <v>21</v>
      </c>
      <c r="G49" t="s">
        <v>22</v>
      </c>
      <c r="H49">
        <v>5</v>
      </c>
      <c r="I49" s="7">
        <v>0</v>
      </c>
      <c r="J49">
        <v>349.75</v>
      </c>
      <c r="K49" t="str">
        <f>PROPER('Original Data'!K49)</f>
        <v>Debit Card</v>
      </c>
      <c r="L49" t="s">
        <v>55</v>
      </c>
      <c r="M49" t="str" cm="1">
        <f t="array" ref="M49">_xlfn.IFS(OR('Original Data'!M49=0,'Original Data'!M49="No",'Original Data'!M49=FALSE),"No",OR('Original Data'!M49=1,'Original Data'!M49="Yes",'Original Data'!M49=TRUE),"Yes")</f>
        <v>No</v>
      </c>
    </row>
    <row r="50" spans="1:13" x14ac:dyDescent="0.2">
      <c r="A50">
        <v>49</v>
      </c>
      <c r="B50" t="s">
        <v>50</v>
      </c>
      <c r="C50" s="5">
        <v>45216</v>
      </c>
      <c r="D50" t="s">
        <v>51</v>
      </c>
      <c r="E50" t="s">
        <v>15</v>
      </c>
      <c r="F50" t="s">
        <v>44</v>
      </c>
      <c r="H50">
        <v>1</v>
      </c>
      <c r="I50" s="7">
        <v>0.05</v>
      </c>
      <c r="J50">
        <v>66.45</v>
      </c>
      <c r="K50" t="str">
        <f>PROPER('Original Data'!K50)</f>
        <v>Apple Pay</v>
      </c>
      <c r="L50" t="s">
        <v>30</v>
      </c>
      <c r="M50" t="str" cm="1">
        <f t="array" ref="M50">_xlfn.IFS(OR('Original Data'!M50=0,'Original Data'!M50="No",'Original Data'!M50=FALSE),"No",OR('Original Data'!M50=1,'Original Data'!M50="Yes",'Original Data'!M50=TRUE),"Yes")</f>
        <v>No</v>
      </c>
    </row>
    <row r="51" spans="1:13" x14ac:dyDescent="0.2">
      <c r="A51">
        <v>50</v>
      </c>
      <c r="B51" t="s">
        <v>85</v>
      </c>
      <c r="C51" s="5">
        <v>45072</v>
      </c>
      <c r="D51" t="s">
        <v>86</v>
      </c>
      <c r="E51" t="s">
        <v>76</v>
      </c>
      <c r="F51" t="s">
        <v>34</v>
      </c>
      <c r="G51" t="s">
        <v>35</v>
      </c>
      <c r="H51">
        <v>1</v>
      </c>
      <c r="I51" s="7">
        <v>0.05</v>
      </c>
      <c r="J51">
        <v>85.45</v>
      </c>
      <c r="K51" t="str">
        <f>PROPER('Original Data'!K51)</f>
        <v>Cash</v>
      </c>
      <c r="L51" t="s">
        <v>45</v>
      </c>
      <c r="M51" t="str" cm="1">
        <f t="array" ref="M51">_xlfn.IFS(OR('Original Data'!M51=0,'Original Data'!M51="No",'Original Data'!M51=FALSE),"No",OR('Original Data'!M51=1,'Original Data'!M51="Yes",'Original Data'!M51=TRUE),"Yes")</f>
        <v>Yes</v>
      </c>
    </row>
    <row r="52" spans="1:13" x14ac:dyDescent="0.2">
      <c r="A52">
        <v>51</v>
      </c>
      <c r="B52" t="s">
        <v>64</v>
      </c>
      <c r="C52" s="5">
        <v>45539</v>
      </c>
      <c r="D52" t="s">
        <v>65</v>
      </c>
      <c r="E52" t="s">
        <v>33</v>
      </c>
      <c r="F52" t="s">
        <v>21</v>
      </c>
      <c r="G52" t="s">
        <v>22</v>
      </c>
      <c r="H52">
        <v>5</v>
      </c>
      <c r="J52">
        <v>374.75</v>
      </c>
      <c r="K52" t="str">
        <f>PROPER('Original Data'!K52)</f>
        <v>Credit Card</v>
      </c>
      <c r="L52" t="s">
        <v>41</v>
      </c>
      <c r="M52" t="str" cm="1">
        <f t="array" ref="M52">_xlfn.IFS(OR('Original Data'!M52=0,'Original Data'!M52="No",'Original Data'!M52=FALSE),"No",OR('Original Data'!M52=1,'Original Data'!M52="Yes",'Original Data'!M52=TRUE),"Yes")</f>
        <v>No</v>
      </c>
    </row>
    <row r="53" spans="1:13" x14ac:dyDescent="0.2">
      <c r="A53">
        <v>52</v>
      </c>
      <c r="B53" t="s">
        <v>81</v>
      </c>
      <c r="C53" s="5">
        <v>45594</v>
      </c>
      <c r="D53" t="s">
        <v>82</v>
      </c>
      <c r="E53" t="s">
        <v>15</v>
      </c>
      <c r="F53" t="s">
        <v>53</v>
      </c>
      <c r="G53" t="s">
        <v>54</v>
      </c>
      <c r="H53">
        <v>1</v>
      </c>
      <c r="I53" s="7">
        <v>0</v>
      </c>
      <c r="J53">
        <v>79.95</v>
      </c>
      <c r="K53" t="s">
        <v>90</v>
      </c>
      <c r="L53" t="s">
        <v>41</v>
      </c>
      <c r="M53" t="str" cm="1">
        <f t="array" ref="M53">_xlfn.IFS(OR('Original Data'!M53=0,'Original Data'!M53="No",'Original Data'!M53=FALSE),"No",OR('Original Data'!M53=1,'Original Data'!M53="Yes",'Original Data'!M53=TRUE),"Yes")</f>
        <v>Yes</v>
      </c>
    </row>
    <row r="54" spans="1:13" x14ac:dyDescent="0.2">
      <c r="A54">
        <v>53</v>
      </c>
      <c r="B54" t="s">
        <v>31</v>
      </c>
      <c r="C54" s="5">
        <v>45605</v>
      </c>
      <c r="D54" t="s">
        <v>32</v>
      </c>
      <c r="E54" t="s">
        <v>33</v>
      </c>
      <c r="F54" t="s">
        <v>16</v>
      </c>
      <c r="G54" t="s">
        <v>17</v>
      </c>
      <c r="H54">
        <v>3</v>
      </c>
      <c r="I54" s="7">
        <v>0.2</v>
      </c>
      <c r="J54">
        <v>191.88</v>
      </c>
      <c r="K54" t="str">
        <f>PROPER('Original Data'!K54)</f>
        <v>Cash</v>
      </c>
      <c r="L54" t="s">
        <v>41</v>
      </c>
      <c r="M54" t="str" cm="1">
        <f t="array" ref="M54">_xlfn.IFS(OR('Original Data'!M54=0,'Original Data'!M54="No",'Original Data'!M54=FALSE),"No",OR('Original Data'!M54=1,'Original Data'!M54="Yes",'Original Data'!M54=TRUE),"Yes")</f>
        <v>No</v>
      </c>
    </row>
    <row r="55" spans="1:13" x14ac:dyDescent="0.2">
      <c r="A55">
        <v>54</v>
      </c>
      <c r="B55" t="s">
        <v>56</v>
      </c>
      <c r="C55" s="5">
        <v>45457</v>
      </c>
      <c r="D55" t="s">
        <v>57</v>
      </c>
      <c r="E55" t="s">
        <v>48</v>
      </c>
      <c r="F55" t="s">
        <v>26</v>
      </c>
      <c r="G55" t="s">
        <v>22</v>
      </c>
      <c r="H55">
        <v>4</v>
      </c>
      <c r="I55" s="7">
        <v>0</v>
      </c>
      <c r="J55">
        <v>340</v>
      </c>
      <c r="K55" t="str">
        <f>PROPER('Original Data'!K55)</f>
        <v>Debit Card</v>
      </c>
      <c r="L55" t="s">
        <v>23</v>
      </c>
      <c r="M55" t="str" cm="1">
        <f t="array" ref="M55">_xlfn.IFS(OR('Original Data'!M55=0,'Original Data'!M55="No",'Original Data'!M55=FALSE),"No",OR('Original Data'!M55=1,'Original Data'!M55="Yes",'Original Data'!M55=TRUE),"Yes")</f>
        <v>Yes</v>
      </c>
    </row>
    <row r="56" spans="1:13" x14ac:dyDescent="0.2">
      <c r="A56">
        <v>55</v>
      </c>
      <c r="B56" t="s">
        <v>13</v>
      </c>
      <c r="C56" s="5">
        <v>45491</v>
      </c>
      <c r="D56" t="s">
        <v>14</v>
      </c>
      <c r="E56" t="s">
        <v>15</v>
      </c>
      <c r="F56" t="s">
        <v>16</v>
      </c>
      <c r="G56" t="s">
        <v>17</v>
      </c>
      <c r="H56">
        <v>5</v>
      </c>
      <c r="I56" s="7">
        <v>0.05</v>
      </c>
      <c r="J56">
        <v>94.95</v>
      </c>
      <c r="K56" t="str">
        <f>PROPER('Original Data'!K56)</f>
        <v>Cash</v>
      </c>
      <c r="L56" t="s">
        <v>45</v>
      </c>
      <c r="M56" t="str" cm="1">
        <f t="array" ref="M56">_xlfn.IFS(OR('Original Data'!M56=0,'Original Data'!M56="No",'Original Data'!M56=FALSE),"No",OR('Original Data'!M56=1,'Original Data'!M56="Yes",'Original Data'!M56=TRUE),"Yes")</f>
        <v>No</v>
      </c>
    </row>
    <row r="57" spans="1:13" x14ac:dyDescent="0.2">
      <c r="A57">
        <v>56</v>
      </c>
      <c r="B57" t="s">
        <v>50</v>
      </c>
      <c r="C57" s="5">
        <v>45410</v>
      </c>
      <c r="D57" t="s">
        <v>51</v>
      </c>
      <c r="E57" t="s">
        <v>15</v>
      </c>
      <c r="F57" t="s">
        <v>44</v>
      </c>
      <c r="H57">
        <v>5</v>
      </c>
      <c r="I57" s="7">
        <v>0.1</v>
      </c>
      <c r="J57">
        <v>314.77999999999997</v>
      </c>
      <c r="K57" t="str">
        <f>PROPER('Original Data'!K57)</f>
        <v>Gift Card</v>
      </c>
      <c r="L57" t="s">
        <v>28</v>
      </c>
      <c r="M57" t="str" cm="1">
        <f t="array" ref="M57">_xlfn.IFS(OR('Original Data'!M57=0,'Original Data'!M57="No",'Original Data'!M57=FALSE),"No",OR('Original Data'!M57=1,'Original Data'!M57="Yes",'Original Data'!M57=TRUE),"Yes")</f>
        <v>No</v>
      </c>
    </row>
    <row r="58" spans="1:13" x14ac:dyDescent="0.2">
      <c r="A58">
        <v>57</v>
      </c>
      <c r="B58" t="s">
        <v>88</v>
      </c>
      <c r="C58" s="5">
        <v>45232</v>
      </c>
      <c r="D58" t="s">
        <v>89</v>
      </c>
      <c r="E58" t="s">
        <v>33</v>
      </c>
      <c r="F58" t="s">
        <v>21</v>
      </c>
      <c r="G58" t="s">
        <v>22</v>
      </c>
      <c r="H58">
        <v>5</v>
      </c>
      <c r="I58" s="7">
        <v>0.1</v>
      </c>
      <c r="J58">
        <v>891</v>
      </c>
      <c r="K58" t="str">
        <f>PROPER('Original Data'!K58)</f>
        <v>Cash</v>
      </c>
      <c r="L58" t="s">
        <v>23</v>
      </c>
      <c r="M58" t="str" cm="1">
        <f t="array" ref="M58">_xlfn.IFS(OR('Original Data'!M58=0,'Original Data'!M58="No",'Original Data'!M58=FALSE),"No",OR('Original Data'!M58=1,'Original Data'!M58="Yes",'Original Data'!M58=TRUE),"Yes")</f>
        <v>No</v>
      </c>
    </row>
    <row r="59" spans="1:13" x14ac:dyDescent="0.2">
      <c r="A59">
        <v>58</v>
      </c>
      <c r="B59" t="s">
        <v>37</v>
      </c>
      <c r="C59" s="5">
        <v>44971</v>
      </c>
      <c r="D59" t="s">
        <v>38</v>
      </c>
      <c r="E59" t="s">
        <v>39</v>
      </c>
      <c r="F59" t="s">
        <v>40</v>
      </c>
      <c r="G59" t="s">
        <v>17</v>
      </c>
      <c r="H59">
        <v>2</v>
      </c>
      <c r="I59" s="7">
        <v>0.2</v>
      </c>
      <c r="J59">
        <v>103.92</v>
      </c>
      <c r="K59" t="str">
        <f>PROPER('Original Data'!K59)</f>
        <v>Gift Card</v>
      </c>
      <c r="L59" t="s">
        <v>63</v>
      </c>
      <c r="M59" t="str" cm="1">
        <f t="array" ref="M59">_xlfn.IFS(OR('Original Data'!M59=0,'Original Data'!M59="No",'Original Data'!M59=FALSE),"No",OR('Original Data'!M59=1,'Original Data'!M59="Yes",'Original Data'!M59=TRUE),"Yes")</f>
        <v>Yes</v>
      </c>
    </row>
    <row r="60" spans="1:13" x14ac:dyDescent="0.2">
      <c r="A60">
        <v>59</v>
      </c>
      <c r="B60" t="s">
        <v>61</v>
      </c>
      <c r="C60" s="5">
        <v>45029</v>
      </c>
      <c r="D60" t="s">
        <v>62</v>
      </c>
      <c r="E60" t="s">
        <v>33</v>
      </c>
      <c r="F60" t="s">
        <v>26</v>
      </c>
      <c r="G60" t="s">
        <v>22</v>
      </c>
      <c r="H60">
        <v>5</v>
      </c>
      <c r="I60" s="7">
        <v>0.15</v>
      </c>
      <c r="J60">
        <v>148.71</v>
      </c>
      <c r="K60" t="str">
        <f>PROPER('Original Data'!K60)</f>
        <v>Gift Card</v>
      </c>
      <c r="L60" t="s">
        <v>55</v>
      </c>
      <c r="M60" t="str" cm="1">
        <f t="array" ref="M60">_xlfn.IFS(OR('Original Data'!M60=0,'Original Data'!M60="No",'Original Data'!M60=FALSE),"No",OR('Original Data'!M60=1,'Original Data'!M60="Yes",'Original Data'!M60=TRUE),"Yes")</f>
        <v>No</v>
      </c>
    </row>
    <row r="61" spans="1:13" x14ac:dyDescent="0.2">
      <c r="A61">
        <v>60</v>
      </c>
      <c r="B61" t="s">
        <v>88</v>
      </c>
      <c r="C61" s="5">
        <v>45617</v>
      </c>
      <c r="D61" t="str">
        <f>VLOOKUP(B61,'Original Data'!B:D,3,FALSE)</f>
        <v>Trench Coat</v>
      </c>
      <c r="E61" t="str">
        <f>_xlfn.XLOOKUP('Cleaned Data'!B589,'Original Data'!B:B,'Original Data'!E:E)</f>
        <v>Old Navy</v>
      </c>
      <c r="F61" t="s">
        <v>53</v>
      </c>
      <c r="G61" t="s">
        <v>54</v>
      </c>
      <c r="H61">
        <v>5</v>
      </c>
      <c r="I61" s="7">
        <v>0.2</v>
      </c>
      <c r="J61">
        <v>792</v>
      </c>
      <c r="K61" t="str">
        <f>PROPER('Original Data'!K61)</f>
        <v>Cash</v>
      </c>
      <c r="M61" t="s">
        <v>92</v>
      </c>
    </row>
    <row r="62" spans="1:13" x14ac:dyDescent="0.2">
      <c r="A62">
        <v>61</v>
      </c>
      <c r="B62" t="s">
        <v>19</v>
      </c>
      <c r="C62" s="5">
        <v>45647</v>
      </c>
      <c r="D62" t="s">
        <v>20</v>
      </c>
      <c r="E62" t="s">
        <v>15</v>
      </c>
      <c r="F62" t="s">
        <v>53</v>
      </c>
      <c r="G62" t="s">
        <v>54</v>
      </c>
      <c r="H62">
        <v>1</v>
      </c>
      <c r="I62" s="7">
        <v>0</v>
      </c>
      <c r="J62">
        <v>89.95</v>
      </c>
      <c r="K62" t="str">
        <f>PROPER('Original Data'!K62)</f>
        <v>Apple Pay</v>
      </c>
      <c r="L62" t="s">
        <v>55</v>
      </c>
      <c r="M62" t="str" cm="1">
        <f t="array" ref="M62">_xlfn.IFS(OR('Original Data'!M62=0,'Original Data'!M62="No",'Original Data'!M62=FALSE),"No",OR('Original Data'!M62=1,'Original Data'!M62="Yes",'Original Data'!M62=TRUE),"Yes")</f>
        <v>Yes</v>
      </c>
    </row>
    <row r="63" spans="1:13" x14ac:dyDescent="0.2">
      <c r="A63">
        <v>62</v>
      </c>
      <c r="B63" t="s">
        <v>31</v>
      </c>
      <c r="C63" s="5">
        <v>45626</v>
      </c>
      <c r="D63" t="s">
        <v>32</v>
      </c>
      <c r="E63" t="s">
        <v>33</v>
      </c>
      <c r="F63" t="s">
        <v>66</v>
      </c>
      <c r="G63" t="s">
        <v>67</v>
      </c>
      <c r="H63">
        <v>2</v>
      </c>
      <c r="I63" s="7">
        <v>0</v>
      </c>
      <c r="J63">
        <v>159.9</v>
      </c>
      <c r="K63" t="s">
        <v>90</v>
      </c>
      <c r="L63" t="s">
        <v>28</v>
      </c>
      <c r="M63" t="str" cm="1">
        <f t="array" ref="M63">_xlfn.IFS(OR('Original Data'!M63=0,'Original Data'!M63="No",'Original Data'!M63=FALSE),"No",OR('Original Data'!M63=1,'Original Data'!M63="Yes",'Original Data'!M63=TRUE),"Yes")</f>
        <v>No</v>
      </c>
    </row>
    <row r="64" spans="1:13" x14ac:dyDescent="0.2">
      <c r="A64">
        <v>63</v>
      </c>
      <c r="B64" t="s">
        <v>56</v>
      </c>
      <c r="C64" s="5">
        <v>45528</v>
      </c>
      <c r="D64" t="s">
        <v>57</v>
      </c>
      <c r="E64" t="s">
        <v>48</v>
      </c>
      <c r="F64" t="s">
        <v>53</v>
      </c>
      <c r="G64" t="s">
        <v>54</v>
      </c>
      <c r="H64">
        <v>2</v>
      </c>
      <c r="I64" s="7">
        <v>0</v>
      </c>
      <c r="J64">
        <v>170</v>
      </c>
      <c r="K64" t="str">
        <f>PROPER('Original Data'!K64)</f>
        <v>Cash</v>
      </c>
      <c r="L64" t="s">
        <v>41</v>
      </c>
      <c r="M64" t="str" cm="1">
        <f t="array" ref="M64">_xlfn.IFS(OR('Original Data'!M64=0,'Original Data'!M64="No",'Original Data'!M64=FALSE),"No",OR('Original Data'!M64=1,'Original Data'!M64="Yes",'Original Data'!M64=TRUE),"Yes")</f>
        <v>Yes</v>
      </c>
    </row>
    <row r="65" spans="1:13" x14ac:dyDescent="0.2">
      <c r="A65">
        <v>64</v>
      </c>
      <c r="B65" t="s">
        <v>81</v>
      </c>
      <c r="C65" s="5">
        <v>45332</v>
      </c>
      <c r="D65" t="s">
        <v>82</v>
      </c>
      <c r="E65" t="s">
        <v>15</v>
      </c>
      <c r="G65" t="s">
        <v>25</v>
      </c>
      <c r="H65">
        <v>3</v>
      </c>
      <c r="I65" s="7">
        <v>0.1</v>
      </c>
      <c r="J65">
        <v>215.87</v>
      </c>
      <c r="K65" t="str">
        <f>PROPER('Original Data'!K65)</f>
        <v>Apple Pay</v>
      </c>
      <c r="L65" t="s">
        <v>23</v>
      </c>
      <c r="M65" t="str" cm="1">
        <f t="array" ref="M65">_xlfn.IFS(OR('Original Data'!M65=0,'Original Data'!M65="No",'Original Data'!M65=FALSE),"No",OR('Original Data'!M65=1,'Original Data'!M65="Yes",'Original Data'!M65=TRUE),"Yes")</f>
        <v>Yes</v>
      </c>
    </row>
    <row r="66" spans="1:13" x14ac:dyDescent="0.2">
      <c r="A66">
        <v>65</v>
      </c>
      <c r="B66" t="s">
        <v>71</v>
      </c>
      <c r="C66" s="5">
        <v>45183</v>
      </c>
      <c r="D66" t="s">
        <v>72</v>
      </c>
      <c r="E66" t="s">
        <v>33</v>
      </c>
      <c r="F66" t="s">
        <v>34</v>
      </c>
      <c r="G66" t="s">
        <v>35</v>
      </c>
      <c r="H66">
        <v>3</v>
      </c>
      <c r="I66" s="7">
        <v>0.05</v>
      </c>
      <c r="J66">
        <v>170.86</v>
      </c>
      <c r="K66" t="s">
        <v>90</v>
      </c>
      <c r="M66" t="str" cm="1">
        <f t="array" ref="M66">_xlfn.IFS(OR('Original Data'!M66=0,'Original Data'!M66="No",'Original Data'!M66=FALSE),"No",OR('Original Data'!M66=1,'Original Data'!M66="Yes",'Original Data'!M66=TRUE),"Yes")</f>
        <v>Yes</v>
      </c>
    </row>
    <row r="67" spans="1:13" x14ac:dyDescent="0.2">
      <c r="A67">
        <v>66</v>
      </c>
      <c r="B67" t="s">
        <v>81</v>
      </c>
      <c r="C67" s="5">
        <v>45261</v>
      </c>
      <c r="D67" t="s">
        <v>82</v>
      </c>
      <c r="E67" t="s">
        <v>15</v>
      </c>
      <c r="F67" t="s">
        <v>26</v>
      </c>
      <c r="G67" t="s">
        <v>22</v>
      </c>
      <c r="H67">
        <v>3</v>
      </c>
      <c r="I67" s="7">
        <v>0</v>
      </c>
      <c r="J67">
        <v>239.85</v>
      </c>
      <c r="K67" t="str">
        <f>PROPER('Original Data'!K67)</f>
        <v>Cash</v>
      </c>
      <c r="L67" t="s">
        <v>55</v>
      </c>
      <c r="M67" t="str" cm="1">
        <f t="array" ref="M67">_xlfn.IFS(OR('Original Data'!M67=0,'Original Data'!M67="No",'Original Data'!M67=FALSE),"No",OR('Original Data'!M67=1,'Original Data'!M67="Yes",'Original Data'!M67=TRUE),"Yes")</f>
        <v>Yes</v>
      </c>
    </row>
    <row r="68" spans="1:13" x14ac:dyDescent="0.2">
      <c r="A68">
        <v>67</v>
      </c>
      <c r="B68" t="s">
        <v>50</v>
      </c>
      <c r="C68" s="5">
        <v>45071</v>
      </c>
      <c r="D68" t="s">
        <v>51</v>
      </c>
      <c r="E68" t="s">
        <v>15</v>
      </c>
      <c r="F68" t="s">
        <v>44</v>
      </c>
      <c r="H68">
        <v>3</v>
      </c>
      <c r="I68" s="7">
        <v>0</v>
      </c>
      <c r="J68">
        <v>209.85</v>
      </c>
      <c r="K68" t="str">
        <f>PROPER('Original Data'!K68)</f>
        <v>Credit Card</v>
      </c>
      <c r="L68" t="s">
        <v>41</v>
      </c>
      <c r="M68" t="str" cm="1">
        <f t="array" ref="M68">_xlfn.IFS(OR('Original Data'!M68=0,'Original Data'!M68="No",'Original Data'!M68=FALSE),"No",OR('Original Data'!M68=1,'Original Data'!M68="Yes",'Original Data'!M68=TRUE),"Yes")</f>
        <v>No</v>
      </c>
    </row>
    <row r="69" spans="1:13" x14ac:dyDescent="0.2">
      <c r="A69">
        <v>68</v>
      </c>
      <c r="B69" t="s">
        <v>68</v>
      </c>
      <c r="C69" s="5">
        <v>45618</v>
      </c>
      <c r="D69" t="s">
        <v>69</v>
      </c>
      <c r="E69" t="s">
        <v>33</v>
      </c>
      <c r="F69" t="s">
        <v>44</v>
      </c>
      <c r="H69">
        <v>3</v>
      </c>
      <c r="I69" s="7">
        <v>0.2</v>
      </c>
      <c r="J69">
        <v>285.60000000000002</v>
      </c>
      <c r="K69" t="str">
        <f>PROPER('Original Data'!K69)</f>
        <v>Credit Card</v>
      </c>
      <c r="L69" t="s">
        <v>49</v>
      </c>
      <c r="M69" t="str" cm="1">
        <f t="array" ref="M69">_xlfn.IFS(OR('Original Data'!M69=0,'Original Data'!M69="No",'Original Data'!M69=FALSE),"No",OR('Original Data'!M69=1,'Original Data'!M69="Yes",'Original Data'!M69=TRUE),"Yes")</f>
        <v>No</v>
      </c>
    </row>
    <row r="70" spans="1:13" x14ac:dyDescent="0.2">
      <c r="A70">
        <v>69</v>
      </c>
      <c r="B70" t="s">
        <v>85</v>
      </c>
      <c r="C70" s="5">
        <v>45238</v>
      </c>
      <c r="D70" t="s">
        <v>86</v>
      </c>
      <c r="E70" t="s">
        <v>76</v>
      </c>
      <c r="F70" t="s">
        <v>53</v>
      </c>
      <c r="G70" t="s">
        <v>54</v>
      </c>
      <c r="H70">
        <v>1</v>
      </c>
      <c r="I70" s="7">
        <v>0</v>
      </c>
      <c r="J70">
        <v>89.95</v>
      </c>
      <c r="K70" t="str">
        <f>PROPER('Original Data'!K70)</f>
        <v>Credit Card</v>
      </c>
      <c r="L70" t="s">
        <v>23</v>
      </c>
      <c r="M70" t="str" cm="1">
        <f t="array" ref="M70">_xlfn.IFS(OR('Original Data'!M70=0,'Original Data'!M70="No",'Original Data'!M70=FALSE),"No",OR('Original Data'!M70=1,'Original Data'!M70="Yes",'Original Data'!M70=TRUE),"Yes")</f>
        <v>Yes</v>
      </c>
    </row>
    <row r="71" spans="1:13" x14ac:dyDescent="0.2">
      <c r="A71">
        <v>70</v>
      </c>
      <c r="B71" t="s">
        <v>85</v>
      </c>
      <c r="C71" s="5">
        <v>44960</v>
      </c>
      <c r="D71" t="s">
        <v>86</v>
      </c>
      <c r="E71" t="s">
        <v>76</v>
      </c>
      <c r="F71" t="s">
        <v>66</v>
      </c>
      <c r="G71" t="s">
        <v>67</v>
      </c>
      <c r="H71">
        <v>1</v>
      </c>
      <c r="I71" s="7">
        <v>0.25</v>
      </c>
      <c r="J71">
        <v>67.459999999999994</v>
      </c>
      <c r="K71" t="str">
        <f>PROPER('Original Data'!K71)</f>
        <v>Cash</v>
      </c>
      <c r="L71" t="s">
        <v>28</v>
      </c>
      <c r="M71" t="str" cm="1">
        <f t="array" ref="M71">_xlfn.IFS(OR('Original Data'!M71=0,'Original Data'!M71="No",'Original Data'!M71=FALSE),"No",OR('Original Data'!M71=1,'Original Data'!M71="Yes",'Original Data'!M71=TRUE),"Yes")</f>
        <v>Yes</v>
      </c>
    </row>
    <row r="72" spans="1:13" x14ac:dyDescent="0.2">
      <c r="A72">
        <v>71</v>
      </c>
      <c r="B72" t="s">
        <v>58</v>
      </c>
      <c r="C72" s="5">
        <v>45392</v>
      </c>
      <c r="D72" t="s">
        <v>59</v>
      </c>
      <c r="E72" t="s">
        <v>15</v>
      </c>
      <c r="F72" t="s">
        <v>40</v>
      </c>
      <c r="G72" t="s">
        <v>17</v>
      </c>
      <c r="H72">
        <v>4</v>
      </c>
      <c r="I72" s="7">
        <v>0</v>
      </c>
      <c r="J72">
        <v>239.8</v>
      </c>
      <c r="K72" t="str">
        <f>PROPER('Original Data'!K72)</f>
        <v>Credit Card</v>
      </c>
      <c r="L72" t="s">
        <v>63</v>
      </c>
      <c r="M72" t="str" cm="1">
        <f t="array" ref="M72">_xlfn.IFS(OR('Original Data'!M72=0,'Original Data'!M72="No",'Original Data'!M72=FALSE),"No",OR('Original Data'!M72=1,'Original Data'!M72="Yes",'Original Data'!M72=TRUE),"Yes")</f>
        <v>Yes</v>
      </c>
    </row>
    <row r="73" spans="1:13" x14ac:dyDescent="0.2">
      <c r="A73">
        <v>72</v>
      </c>
      <c r="B73" t="s">
        <v>81</v>
      </c>
      <c r="C73" s="5">
        <v>45537</v>
      </c>
      <c r="D73" t="s">
        <v>82</v>
      </c>
      <c r="E73" t="s">
        <v>15</v>
      </c>
      <c r="F73" t="s">
        <v>34</v>
      </c>
      <c r="G73" t="s">
        <v>35</v>
      </c>
      <c r="H73">
        <v>2</v>
      </c>
      <c r="I73" s="7">
        <v>0.05</v>
      </c>
      <c r="J73">
        <v>151.9</v>
      </c>
      <c r="K73" t="str">
        <f>PROPER('Original Data'!K73)</f>
        <v>Debit Card</v>
      </c>
      <c r="L73" t="s">
        <v>49</v>
      </c>
      <c r="M73" t="str" cm="1">
        <f t="array" ref="M73">_xlfn.IFS(OR('Original Data'!M73=0,'Original Data'!M73="No",'Original Data'!M73=FALSE),"No",OR('Original Data'!M73=1,'Original Data'!M73="Yes",'Original Data'!M73=TRUE),"Yes")</f>
        <v>Yes</v>
      </c>
    </row>
    <row r="74" spans="1:13" x14ac:dyDescent="0.2">
      <c r="A74">
        <v>73</v>
      </c>
      <c r="B74" t="s">
        <v>19</v>
      </c>
      <c r="C74" s="5">
        <v>45198</v>
      </c>
      <c r="D74" t="s">
        <v>20</v>
      </c>
      <c r="E74" t="s">
        <v>15</v>
      </c>
      <c r="F74" t="s">
        <v>40</v>
      </c>
      <c r="G74" t="s">
        <v>17</v>
      </c>
      <c r="H74">
        <v>5</v>
      </c>
      <c r="I74" s="7">
        <v>0.15</v>
      </c>
      <c r="J74">
        <v>382.29</v>
      </c>
      <c r="K74" t="str">
        <f>PROPER('Original Data'!K74)</f>
        <v>Debit Card</v>
      </c>
      <c r="L74" t="s">
        <v>23</v>
      </c>
      <c r="M74" t="str" cm="1">
        <f t="array" ref="M74">_xlfn.IFS(OR('Original Data'!M74=0,'Original Data'!M74="No",'Original Data'!M74=FALSE),"No",OR('Original Data'!M74=1,'Original Data'!M74="Yes",'Original Data'!M74=TRUE),"Yes")</f>
        <v>Yes</v>
      </c>
    </row>
    <row r="75" spans="1:13" x14ac:dyDescent="0.2">
      <c r="A75">
        <v>74</v>
      </c>
      <c r="B75" t="s">
        <v>71</v>
      </c>
      <c r="C75" s="5">
        <v>44958</v>
      </c>
      <c r="D75" t="s">
        <v>72</v>
      </c>
      <c r="E75" t="s">
        <v>33</v>
      </c>
      <c r="F75" t="s">
        <v>34</v>
      </c>
      <c r="G75" t="s">
        <v>35</v>
      </c>
      <c r="H75">
        <v>1</v>
      </c>
      <c r="I75" s="7">
        <v>0.1</v>
      </c>
      <c r="J75">
        <v>53.96</v>
      </c>
      <c r="K75" t="str">
        <f>PROPER('Original Data'!K75)</f>
        <v>Apple Pay</v>
      </c>
      <c r="L75" t="s">
        <v>41</v>
      </c>
      <c r="M75" t="str" cm="1">
        <f t="array" ref="M75">_xlfn.IFS(OR('Original Data'!M75=0,'Original Data'!M75="No",'Original Data'!M75=FALSE),"No",OR('Original Data'!M75=1,'Original Data'!M75="Yes",'Original Data'!M75=TRUE),"Yes")</f>
        <v>Yes</v>
      </c>
    </row>
    <row r="76" spans="1:13" x14ac:dyDescent="0.2">
      <c r="A76">
        <v>75</v>
      </c>
      <c r="B76" t="s">
        <v>42</v>
      </c>
      <c r="C76" s="5">
        <v>45538</v>
      </c>
      <c r="D76" t="s">
        <v>91</v>
      </c>
      <c r="E76" t="s">
        <v>15</v>
      </c>
      <c r="F76" t="s">
        <v>66</v>
      </c>
      <c r="G76" t="s">
        <v>67</v>
      </c>
      <c r="H76">
        <v>2</v>
      </c>
      <c r="I76" s="7">
        <v>0.1</v>
      </c>
      <c r="J76">
        <v>232.2</v>
      </c>
      <c r="K76" t="str">
        <f>PROPER('Original Data'!K76)</f>
        <v>Gift Card</v>
      </c>
      <c r="L76" t="s">
        <v>49</v>
      </c>
      <c r="M76" t="str" cm="1">
        <f t="array" ref="M76">_xlfn.IFS(OR('Original Data'!M76=0,'Original Data'!M76="No",'Original Data'!M76=FALSE),"No",OR('Original Data'!M76=1,'Original Data'!M76="Yes",'Original Data'!M76=TRUE),"Yes")</f>
        <v>Yes</v>
      </c>
    </row>
    <row r="77" spans="1:13" x14ac:dyDescent="0.2">
      <c r="A77">
        <v>76</v>
      </c>
      <c r="B77" t="s">
        <v>85</v>
      </c>
      <c r="C77" s="5">
        <v>45391</v>
      </c>
      <c r="D77" t="s">
        <v>86</v>
      </c>
      <c r="E77" t="s">
        <v>76</v>
      </c>
      <c r="F77" t="s">
        <v>34</v>
      </c>
      <c r="G77" t="s">
        <v>35</v>
      </c>
      <c r="H77">
        <v>4</v>
      </c>
      <c r="I77" s="7">
        <v>0.05</v>
      </c>
      <c r="J77">
        <v>341.81</v>
      </c>
      <c r="K77" t="str">
        <f>PROPER('Original Data'!K77)</f>
        <v>Cash</v>
      </c>
      <c r="L77" t="s">
        <v>28</v>
      </c>
      <c r="M77" t="str" cm="1">
        <f t="array" ref="M77">_xlfn.IFS(OR('Original Data'!M77=0,'Original Data'!M77="No",'Original Data'!M77=FALSE),"No",OR('Original Data'!M77=1,'Original Data'!M77="Yes",'Original Data'!M77=TRUE),"Yes")</f>
        <v>Yes</v>
      </c>
    </row>
    <row r="78" spans="1:13" x14ac:dyDescent="0.2">
      <c r="A78">
        <v>77</v>
      </c>
      <c r="B78" t="s">
        <v>42</v>
      </c>
      <c r="C78" s="5">
        <v>45308</v>
      </c>
      <c r="D78" t="s">
        <v>91</v>
      </c>
      <c r="E78" t="s">
        <v>15</v>
      </c>
      <c r="F78" t="s">
        <v>16</v>
      </c>
      <c r="G78" t="s">
        <v>17</v>
      </c>
      <c r="H78">
        <v>1</v>
      </c>
      <c r="I78" s="7">
        <v>0</v>
      </c>
      <c r="J78">
        <v>129</v>
      </c>
      <c r="K78" t="str">
        <f>PROPER('Original Data'!K78)</f>
        <v>Credit Card</v>
      </c>
      <c r="L78" t="s">
        <v>28</v>
      </c>
      <c r="M78" t="str" cm="1">
        <f t="array" ref="M78">_xlfn.IFS(OR('Original Data'!M78=0,'Original Data'!M78="No",'Original Data'!M78=FALSE),"No",OR('Original Data'!M78=1,'Original Data'!M78="Yes",'Original Data'!M78=TRUE),"Yes")</f>
        <v>Yes</v>
      </c>
    </row>
    <row r="79" spans="1:13" x14ac:dyDescent="0.2">
      <c r="A79">
        <v>78</v>
      </c>
      <c r="B79" t="s">
        <v>50</v>
      </c>
      <c r="C79" s="5">
        <v>45518</v>
      </c>
      <c r="D79" t="s">
        <v>51</v>
      </c>
      <c r="E79" t="s">
        <v>15</v>
      </c>
      <c r="F79" t="s">
        <v>26</v>
      </c>
      <c r="G79" t="s">
        <v>22</v>
      </c>
      <c r="H79">
        <v>5</v>
      </c>
      <c r="I79" s="7">
        <v>0.1</v>
      </c>
      <c r="J79">
        <v>314.77999999999997</v>
      </c>
      <c r="K79" t="str">
        <f>PROPER('Original Data'!K79)</f>
        <v>Credit Card</v>
      </c>
      <c r="L79" t="s">
        <v>49</v>
      </c>
      <c r="M79" t="str" cm="1">
        <f t="array" ref="M79">_xlfn.IFS(OR('Original Data'!M79=0,'Original Data'!M79="No",'Original Data'!M79=FALSE),"No",OR('Original Data'!M79=1,'Original Data'!M79="Yes",'Original Data'!M79=TRUE),"Yes")</f>
        <v>No</v>
      </c>
    </row>
    <row r="80" spans="1:13" x14ac:dyDescent="0.2">
      <c r="A80">
        <v>79</v>
      </c>
      <c r="B80" t="s">
        <v>56</v>
      </c>
      <c r="C80" s="5">
        <v>45111</v>
      </c>
      <c r="D80" t="s">
        <v>57</v>
      </c>
      <c r="E80" t="s">
        <v>48</v>
      </c>
      <c r="F80" t="s">
        <v>21</v>
      </c>
      <c r="G80" t="s">
        <v>22</v>
      </c>
      <c r="H80">
        <v>5</v>
      </c>
      <c r="J80">
        <v>425</v>
      </c>
      <c r="K80" t="str">
        <f>PROPER('Original Data'!K80)</f>
        <v>Credit Card</v>
      </c>
      <c r="L80" t="s">
        <v>30</v>
      </c>
      <c r="M80" t="str" cm="1">
        <f t="array" ref="M80">_xlfn.IFS(OR('Original Data'!M80=0,'Original Data'!M80="No",'Original Data'!M80=FALSE),"No",OR('Original Data'!M80=1,'Original Data'!M80="Yes",'Original Data'!M80=TRUE),"Yes")</f>
        <v>Yes</v>
      </c>
    </row>
    <row r="81" spans="1:13" x14ac:dyDescent="0.2">
      <c r="A81">
        <v>80</v>
      </c>
      <c r="B81" t="s">
        <v>42</v>
      </c>
      <c r="C81" s="5">
        <v>45391</v>
      </c>
      <c r="D81" t="s">
        <v>91</v>
      </c>
      <c r="E81" t="s">
        <v>15</v>
      </c>
      <c r="F81" t="s">
        <v>26</v>
      </c>
      <c r="G81" t="s">
        <v>22</v>
      </c>
      <c r="H81">
        <v>5</v>
      </c>
      <c r="I81" s="7">
        <v>0.05</v>
      </c>
      <c r="J81">
        <v>612.75</v>
      </c>
      <c r="K81" t="str">
        <f>PROPER('Original Data'!K81)</f>
        <v>Gift Card</v>
      </c>
      <c r="L81" t="s">
        <v>28</v>
      </c>
      <c r="M81" t="str" cm="1">
        <f t="array" ref="M81">_xlfn.IFS(OR('Original Data'!M81=0,'Original Data'!M81="No",'Original Data'!M81=FALSE),"No",OR('Original Data'!M81=1,'Original Data'!M81="Yes",'Original Data'!M81=TRUE),"Yes")</f>
        <v>Yes</v>
      </c>
    </row>
    <row r="82" spans="1:13" x14ac:dyDescent="0.2">
      <c r="A82">
        <v>81</v>
      </c>
      <c r="B82" t="s">
        <v>42</v>
      </c>
      <c r="C82" s="5">
        <v>45548</v>
      </c>
      <c r="D82" t="s">
        <v>91</v>
      </c>
      <c r="E82" t="s">
        <v>15</v>
      </c>
      <c r="F82" t="s">
        <v>26</v>
      </c>
      <c r="G82" t="s">
        <v>22</v>
      </c>
      <c r="H82">
        <v>3</v>
      </c>
      <c r="I82" s="7">
        <v>0.25</v>
      </c>
      <c r="J82">
        <v>290.25</v>
      </c>
      <c r="K82" t="str">
        <f>PROPER('Original Data'!K82)</f>
        <v>Gift Card</v>
      </c>
      <c r="L82" t="s">
        <v>28</v>
      </c>
      <c r="M82" t="str" cm="1">
        <f t="array" ref="M82">_xlfn.IFS(OR('Original Data'!M82=0,'Original Data'!M82="No",'Original Data'!M82=FALSE),"No",OR('Original Data'!M82=1,'Original Data'!M82="Yes",'Original Data'!M82=TRUE),"Yes")</f>
        <v>Yes</v>
      </c>
    </row>
    <row r="83" spans="1:13" x14ac:dyDescent="0.2">
      <c r="A83">
        <v>82</v>
      </c>
      <c r="B83" t="s">
        <v>58</v>
      </c>
      <c r="C83" s="5">
        <v>45136</v>
      </c>
      <c r="D83" t="s">
        <v>59</v>
      </c>
      <c r="E83" t="s">
        <v>15</v>
      </c>
      <c r="F83" t="s">
        <v>53</v>
      </c>
      <c r="G83" t="s">
        <v>54</v>
      </c>
      <c r="H83">
        <v>2</v>
      </c>
      <c r="I83" s="7">
        <v>0.2</v>
      </c>
      <c r="J83">
        <v>95.92</v>
      </c>
      <c r="K83" t="str">
        <f>PROPER('Original Data'!K83)</f>
        <v>Credit Card</v>
      </c>
      <c r="L83" t="s">
        <v>23</v>
      </c>
      <c r="M83" t="str" cm="1">
        <f t="array" ref="M83">_xlfn.IFS(OR('Original Data'!M83=0,'Original Data'!M83="No",'Original Data'!M83=FALSE),"No",OR('Original Data'!M83=1,'Original Data'!M83="Yes",'Original Data'!M83=TRUE),"Yes")</f>
        <v>Yes</v>
      </c>
    </row>
    <row r="84" spans="1:13" x14ac:dyDescent="0.2">
      <c r="A84">
        <v>83</v>
      </c>
      <c r="B84" t="s">
        <v>78</v>
      </c>
      <c r="C84" s="5">
        <v>44970</v>
      </c>
      <c r="D84" t="s">
        <v>79</v>
      </c>
      <c r="E84" t="s">
        <v>48</v>
      </c>
      <c r="G84" t="s">
        <v>25</v>
      </c>
      <c r="H84">
        <v>5</v>
      </c>
      <c r="I84" s="7">
        <v>0.15</v>
      </c>
      <c r="J84">
        <v>169.79</v>
      </c>
      <c r="K84" t="str">
        <f>PROPER('Original Data'!K84)</f>
        <v>Gift Card</v>
      </c>
      <c r="L84" t="s">
        <v>55</v>
      </c>
      <c r="M84" t="str" cm="1">
        <f t="array" ref="M84">_xlfn.IFS(OR('Original Data'!M84=0,'Original Data'!M84="No",'Original Data'!M84=FALSE),"No",OR('Original Data'!M84=1,'Original Data'!M84="Yes",'Original Data'!M84=TRUE),"Yes")</f>
        <v>Yes</v>
      </c>
    </row>
    <row r="85" spans="1:13" x14ac:dyDescent="0.2">
      <c r="A85">
        <v>84</v>
      </c>
      <c r="B85" t="s">
        <v>88</v>
      </c>
      <c r="C85" s="5">
        <v>45374</v>
      </c>
      <c r="D85" t="s">
        <v>89</v>
      </c>
      <c r="E85" t="s">
        <v>33</v>
      </c>
      <c r="F85" t="s">
        <v>26</v>
      </c>
      <c r="G85" t="s">
        <v>22</v>
      </c>
      <c r="H85">
        <v>2</v>
      </c>
      <c r="I85" s="7">
        <v>0.25</v>
      </c>
      <c r="J85">
        <v>297</v>
      </c>
      <c r="K85" t="str">
        <f>PROPER('Original Data'!K85)</f>
        <v>Credit Card</v>
      </c>
      <c r="L85" t="s">
        <v>49</v>
      </c>
      <c r="M85" t="str" cm="1">
        <f t="array" ref="M85">_xlfn.IFS(OR('Original Data'!M85=0,'Original Data'!M85="No",'Original Data'!M85=FALSE),"No",OR('Original Data'!M85=1,'Original Data'!M85="Yes",'Original Data'!M85=TRUE),"Yes")</f>
        <v>No</v>
      </c>
    </row>
    <row r="86" spans="1:13" x14ac:dyDescent="0.2">
      <c r="A86">
        <v>85</v>
      </c>
      <c r="B86" t="s">
        <v>78</v>
      </c>
      <c r="C86" s="5">
        <v>45587</v>
      </c>
      <c r="D86" t="s">
        <v>79</v>
      </c>
      <c r="E86" t="s">
        <v>48</v>
      </c>
      <c r="F86" t="s">
        <v>16</v>
      </c>
      <c r="G86" t="s">
        <v>17</v>
      </c>
      <c r="H86">
        <v>5</v>
      </c>
      <c r="I86" s="7">
        <v>0.05</v>
      </c>
      <c r="J86">
        <v>189.76</v>
      </c>
      <c r="K86" t="str">
        <f>PROPER('Original Data'!K86)</f>
        <v>Cash</v>
      </c>
      <c r="L86" t="s">
        <v>49</v>
      </c>
      <c r="M86" t="str" cm="1">
        <f t="array" ref="M86">_xlfn.IFS(OR('Original Data'!M86=0,'Original Data'!M86="No",'Original Data'!M86=FALSE),"No",OR('Original Data'!M86=1,'Original Data'!M86="Yes",'Original Data'!M86=TRUE),"Yes")</f>
        <v>Yes</v>
      </c>
    </row>
    <row r="87" spans="1:13" x14ac:dyDescent="0.2">
      <c r="A87">
        <v>86</v>
      </c>
      <c r="B87" t="s">
        <v>24</v>
      </c>
      <c r="C87" s="5">
        <v>45250</v>
      </c>
      <c r="D87" t="s">
        <v>87</v>
      </c>
      <c r="E87" t="s">
        <v>39</v>
      </c>
      <c r="F87" t="s">
        <v>44</v>
      </c>
      <c r="H87">
        <v>5</v>
      </c>
      <c r="I87" s="7">
        <v>0.25</v>
      </c>
      <c r="J87">
        <v>168.56</v>
      </c>
      <c r="K87" t="str">
        <f>PROPER('Original Data'!K87)</f>
        <v>Apple Pay</v>
      </c>
      <c r="L87" t="s">
        <v>49</v>
      </c>
      <c r="M87" t="str" cm="1">
        <f t="array" ref="M87">_xlfn.IFS(OR('Original Data'!M87=0,'Original Data'!M87="No",'Original Data'!M87=FALSE),"No",OR('Original Data'!M87=1,'Original Data'!M87="Yes",'Original Data'!M87=TRUE),"Yes")</f>
        <v>Yes</v>
      </c>
    </row>
    <row r="88" spans="1:13" x14ac:dyDescent="0.2">
      <c r="A88">
        <v>87</v>
      </c>
      <c r="B88" t="s">
        <v>58</v>
      </c>
      <c r="C88" s="5">
        <v>45019</v>
      </c>
      <c r="D88" t="str">
        <f>VLOOKUP(B88,'Original Data'!B:D,3,FALSE)</f>
        <v>Slim Chino Pants</v>
      </c>
      <c r="E88" t="str">
        <f>_xlfn.XLOOKUP('Cleaned Data'!B53,'Original Data'!B:B,'Original Data'!E:E)</f>
        <v>GAP</v>
      </c>
      <c r="F88" t="s">
        <v>26</v>
      </c>
      <c r="G88" t="s">
        <v>22</v>
      </c>
      <c r="H88">
        <v>3</v>
      </c>
      <c r="I88" s="7">
        <v>0.1</v>
      </c>
      <c r="J88">
        <v>161.87</v>
      </c>
      <c r="K88" t="str">
        <f>PROPER('Original Data'!K88)</f>
        <v>Apple Pay</v>
      </c>
      <c r="L88" t="s">
        <v>55</v>
      </c>
      <c r="M88" t="s">
        <v>92</v>
      </c>
    </row>
    <row r="89" spans="1:13" x14ac:dyDescent="0.2">
      <c r="A89">
        <v>88</v>
      </c>
      <c r="B89" t="s">
        <v>88</v>
      </c>
      <c r="C89" s="5">
        <v>45388</v>
      </c>
      <c r="D89" t="str">
        <f>VLOOKUP(B89,'Original Data'!B:D,3,FALSE)</f>
        <v>Trench Coat</v>
      </c>
      <c r="E89" t="str">
        <f>_xlfn.XLOOKUP('Cleaned Data'!B591,'Original Data'!B:B,'Original Data'!E:E)</f>
        <v>GAP</v>
      </c>
      <c r="F89" t="s">
        <v>34</v>
      </c>
      <c r="G89" t="s">
        <v>35</v>
      </c>
      <c r="H89">
        <v>5</v>
      </c>
      <c r="I89" s="7">
        <v>0.25</v>
      </c>
      <c r="J89">
        <v>742.5</v>
      </c>
      <c r="K89" t="str">
        <f>PROPER('Original Data'!K89)</f>
        <v>Credit Card</v>
      </c>
      <c r="L89" t="s">
        <v>45</v>
      </c>
      <c r="M89" t="s">
        <v>92</v>
      </c>
    </row>
    <row r="90" spans="1:13" x14ac:dyDescent="0.2">
      <c r="A90">
        <v>89</v>
      </c>
      <c r="B90" t="s">
        <v>68</v>
      </c>
      <c r="C90" s="5">
        <v>45273</v>
      </c>
      <c r="D90" t="s">
        <v>69</v>
      </c>
      <c r="E90" t="s">
        <v>33</v>
      </c>
      <c r="F90" t="s">
        <v>66</v>
      </c>
      <c r="G90" t="s">
        <v>67</v>
      </c>
      <c r="H90">
        <v>3</v>
      </c>
      <c r="I90" s="7">
        <v>0.1</v>
      </c>
      <c r="J90">
        <v>321.3</v>
      </c>
      <c r="K90" t="str">
        <f>PROPER('Original Data'!K90)</f>
        <v>Gift Card</v>
      </c>
      <c r="L90" t="s">
        <v>28</v>
      </c>
      <c r="M90" t="str" cm="1">
        <f t="array" ref="M90">_xlfn.IFS(OR('Original Data'!M90=0,'Original Data'!M90="No",'Original Data'!M90=FALSE),"No",OR('Original Data'!M90=1,'Original Data'!M90="Yes",'Original Data'!M90=TRUE),"Yes")</f>
        <v>No</v>
      </c>
    </row>
    <row r="91" spans="1:13" x14ac:dyDescent="0.2">
      <c r="A91">
        <v>90</v>
      </c>
      <c r="B91" t="s">
        <v>88</v>
      </c>
      <c r="C91" s="5">
        <v>45598</v>
      </c>
      <c r="D91" t="s">
        <v>89</v>
      </c>
      <c r="E91" t="s">
        <v>33</v>
      </c>
      <c r="F91" t="s">
        <v>66</v>
      </c>
      <c r="G91" t="s">
        <v>67</v>
      </c>
      <c r="H91">
        <v>1</v>
      </c>
      <c r="I91" s="7">
        <v>0</v>
      </c>
      <c r="J91">
        <v>198</v>
      </c>
      <c r="K91" t="str">
        <f>PROPER('Original Data'!K91)</f>
        <v>Cash</v>
      </c>
      <c r="L91" t="s">
        <v>49</v>
      </c>
      <c r="M91" t="str" cm="1">
        <f t="array" ref="M91">_xlfn.IFS(OR('Original Data'!M91=0,'Original Data'!M91="No",'Original Data'!M91=FALSE),"No",OR('Original Data'!M91=1,'Original Data'!M91="Yes",'Original Data'!M91=TRUE),"Yes")</f>
        <v>No</v>
      </c>
    </row>
    <row r="92" spans="1:13" x14ac:dyDescent="0.2">
      <c r="A92">
        <v>91</v>
      </c>
      <c r="B92" t="s">
        <v>78</v>
      </c>
      <c r="C92" s="5">
        <v>45298</v>
      </c>
      <c r="D92" t="s">
        <v>79</v>
      </c>
      <c r="E92" t="s">
        <v>48</v>
      </c>
      <c r="F92" t="s">
        <v>66</v>
      </c>
      <c r="G92" t="s">
        <v>67</v>
      </c>
      <c r="H92">
        <v>1</v>
      </c>
      <c r="I92" s="7">
        <v>0.2</v>
      </c>
      <c r="J92">
        <v>31.96</v>
      </c>
      <c r="K92" t="str">
        <f>PROPER('Original Data'!K92)</f>
        <v>Credit Card</v>
      </c>
      <c r="L92" t="s">
        <v>49</v>
      </c>
      <c r="M92" t="str" cm="1">
        <f t="array" ref="M92">_xlfn.IFS(OR('Original Data'!M92=0,'Original Data'!M92="No",'Original Data'!M92=FALSE),"No",OR('Original Data'!M92=1,'Original Data'!M92="Yes",'Original Data'!M92=TRUE),"Yes")</f>
        <v>Yes</v>
      </c>
    </row>
    <row r="93" spans="1:13" x14ac:dyDescent="0.2">
      <c r="A93">
        <v>92</v>
      </c>
      <c r="B93" t="s">
        <v>78</v>
      </c>
      <c r="C93" s="5">
        <v>45061</v>
      </c>
      <c r="D93" t="s">
        <v>79</v>
      </c>
      <c r="E93" t="s">
        <v>48</v>
      </c>
      <c r="F93" t="s">
        <v>16</v>
      </c>
      <c r="G93" t="s">
        <v>17</v>
      </c>
      <c r="H93">
        <v>5</v>
      </c>
      <c r="I93" s="7">
        <v>0</v>
      </c>
      <c r="J93">
        <v>199.75</v>
      </c>
      <c r="K93" t="s">
        <v>90</v>
      </c>
      <c r="L93" t="s">
        <v>49</v>
      </c>
      <c r="M93" t="str" cm="1">
        <f t="array" ref="M93">_xlfn.IFS(OR('Original Data'!M93=0,'Original Data'!M93="No",'Original Data'!M93=FALSE),"No",OR('Original Data'!M93=1,'Original Data'!M93="Yes",'Original Data'!M93=TRUE),"Yes")</f>
        <v>Yes</v>
      </c>
    </row>
    <row r="94" spans="1:13" x14ac:dyDescent="0.2">
      <c r="A94">
        <v>93</v>
      </c>
      <c r="B94" t="s">
        <v>24</v>
      </c>
      <c r="C94" s="5">
        <v>45473</v>
      </c>
      <c r="D94" t="s">
        <v>87</v>
      </c>
      <c r="E94" t="s">
        <v>39</v>
      </c>
      <c r="F94" t="s">
        <v>34</v>
      </c>
      <c r="G94" t="s">
        <v>35</v>
      </c>
      <c r="H94">
        <v>5</v>
      </c>
      <c r="I94" s="7">
        <v>0.1</v>
      </c>
      <c r="J94">
        <v>202.28</v>
      </c>
      <c r="K94" t="str">
        <f>PROPER('Original Data'!K94)</f>
        <v>Debit Card</v>
      </c>
      <c r="L94" t="s">
        <v>41</v>
      </c>
      <c r="M94" t="str" cm="1">
        <f t="array" ref="M94">_xlfn.IFS(OR('Original Data'!M94=0,'Original Data'!M94="No",'Original Data'!M94=FALSE),"No",OR('Original Data'!M94=1,'Original Data'!M94="Yes",'Original Data'!M94=TRUE),"Yes")</f>
        <v>Yes</v>
      </c>
    </row>
    <row r="95" spans="1:13" x14ac:dyDescent="0.2">
      <c r="A95">
        <v>94</v>
      </c>
      <c r="B95" t="s">
        <v>74</v>
      </c>
      <c r="C95" s="5">
        <v>45546</v>
      </c>
      <c r="D95" t="s">
        <v>75</v>
      </c>
      <c r="E95" t="s">
        <v>76</v>
      </c>
      <c r="F95" t="s">
        <v>53</v>
      </c>
      <c r="G95" t="s">
        <v>54</v>
      </c>
      <c r="H95">
        <v>5</v>
      </c>
      <c r="I95" s="7">
        <v>0.2</v>
      </c>
      <c r="J95">
        <v>179.8</v>
      </c>
      <c r="K95" t="str">
        <f>PROPER('Original Data'!K95)</f>
        <v>Debit Card</v>
      </c>
      <c r="L95" t="s">
        <v>45</v>
      </c>
      <c r="M95" t="str" cm="1">
        <f t="array" ref="M95">_xlfn.IFS(OR('Original Data'!M95=0,'Original Data'!M95="No",'Original Data'!M95=FALSE),"No",OR('Original Data'!M95=1,'Original Data'!M95="Yes",'Original Data'!M95=TRUE),"Yes")</f>
        <v>No</v>
      </c>
    </row>
    <row r="96" spans="1:13" x14ac:dyDescent="0.2">
      <c r="A96">
        <v>95</v>
      </c>
      <c r="B96" t="s">
        <v>50</v>
      </c>
      <c r="C96" s="5">
        <v>45452</v>
      </c>
      <c r="D96" t="s">
        <v>51</v>
      </c>
      <c r="E96" t="s">
        <v>15</v>
      </c>
      <c r="F96" t="s">
        <v>16</v>
      </c>
      <c r="G96" t="s">
        <v>17</v>
      </c>
      <c r="H96">
        <v>1</v>
      </c>
      <c r="I96" s="7">
        <v>0</v>
      </c>
      <c r="J96">
        <v>69.95</v>
      </c>
      <c r="K96" t="str">
        <f>PROPER('Original Data'!K96)</f>
        <v>Gift Card</v>
      </c>
      <c r="L96" t="s">
        <v>30</v>
      </c>
      <c r="M96" t="str" cm="1">
        <f t="array" ref="M96">_xlfn.IFS(OR('Original Data'!M96=0,'Original Data'!M96="No",'Original Data'!M96=FALSE),"No",OR('Original Data'!M96=1,'Original Data'!M96="Yes",'Original Data'!M96=TRUE),"Yes")</f>
        <v>No</v>
      </c>
    </row>
    <row r="97" spans="1:13" x14ac:dyDescent="0.2">
      <c r="A97">
        <v>96</v>
      </c>
      <c r="B97" t="s">
        <v>78</v>
      </c>
      <c r="C97" s="5">
        <v>45310</v>
      </c>
      <c r="D97" t="s">
        <v>79</v>
      </c>
      <c r="E97" t="s">
        <v>48</v>
      </c>
      <c r="G97" t="s">
        <v>25</v>
      </c>
      <c r="H97">
        <v>3</v>
      </c>
      <c r="I97" s="7">
        <v>0.05</v>
      </c>
      <c r="J97">
        <v>113.86</v>
      </c>
      <c r="K97" t="str">
        <f>PROPER('Original Data'!K97)</f>
        <v>Credit Card</v>
      </c>
      <c r="L97" t="s">
        <v>28</v>
      </c>
      <c r="M97" t="str" cm="1">
        <f t="array" ref="M97">_xlfn.IFS(OR('Original Data'!M97=0,'Original Data'!M97="No",'Original Data'!M97=FALSE),"No",OR('Original Data'!M97=1,'Original Data'!M97="Yes",'Original Data'!M97=TRUE),"Yes")</f>
        <v>Yes</v>
      </c>
    </row>
    <row r="98" spans="1:13" x14ac:dyDescent="0.2">
      <c r="A98">
        <v>97</v>
      </c>
      <c r="B98" t="s">
        <v>83</v>
      </c>
      <c r="C98" s="5">
        <v>45189</v>
      </c>
      <c r="D98" t="s">
        <v>84</v>
      </c>
      <c r="E98" t="s">
        <v>48</v>
      </c>
      <c r="F98" t="s">
        <v>66</v>
      </c>
      <c r="G98" t="s">
        <v>67</v>
      </c>
      <c r="H98">
        <v>4</v>
      </c>
      <c r="I98" s="7">
        <v>0</v>
      </c>
      <c r="J98">
        <v>199.8</v>
      </c>
      <c r="K98" t="str">
        <f>PROPER('Original Data'!K98)</f>
        <v>Credit Card</v>
      </c>
      <c r="L98" t="s">
        <v>55</v>
      </c>
      <c r="M98" t="str" cm="1">
        <f t="array" ref="M98">_xlfn.IFS(OR('Original Data'!M98=0,'Original Data'!M98="No",'Original Data'!M98=FALSE),"No",OR('Original Data'!M98=1,'Original Data'!M98="Yes",'Original Data'!M98=TRUE),"Yes")</f>
        <v>No</v>
      </c>
    </row>
    <row r="99" spans="1:13" x14ac:dyDescent="0.2">
      <c r="A99">
        <v>98</v>
      </c>
      <c r="B99" t="s">
        <v>71</v>
      </c>
      <c r="C99" s="5">
        <v>45538</v>
      </c>
      <c r="D99" t="s">
        <v>72</v>
      </c>
      <c r="E99" t="s">
        <v>33</v>
      </c>
      <c r="G99" t="s">
        <v>25</v>
      </c>
      <c r="H99">
        <v>4</v>
      </c>
      <c r="I99" s="7">
        <v>0</v>
      </c>
      <c r="J99">
        <v>239.8</v>
      </c>
      <c r="K99" t="str">
        <f>PROPER('Original Data'!K99)</f>
        <v>Gift Card</v>
      </c>
      <c r="L99" t="s">
        <v>55</v>
      </c>
      <c r="M99" t="str" cm="1">
        <f t="array" ref="M99">_xlfn.IFS(OR('Original Data'!M99=0,'Original Data'!M99="No",'Original Data'!M99=FALSE),"No",OR('Original Data'!M99=1,'Original Data'!M99="Yes",'Original Data'!M99=TRUE),"Yes")</f>
        <v>Yes</v>
      </c>
    </row>
    <row r="100" spans="1:13" x14ac:dyDescent="0.2">
      <c r="A100">
        <v>99</v>
      </c>
      <c r="B100" t="s">
        <v>78</v>
      </c>
      <c r="C100" s="5">
        <v>45408</v>
      </c>
      <c r="D100" t="s">
        <v>79</v>
      </c>
      <c r="E100" t="s">
        <v>48</v>
      </c>
      <c r="F100" t="s">
        <v>16</v>
      </c>
      <c r="G100" t="s">
        <v>17</v>
      </c>
      <c r="H100">
        <v>3</v>
      </c>
      <c r="I100" s="7">
        <v>0</v>
      </c>
      <c r="J100">
        <v>119.85</v>
      </c>
      <c r="K100" t="str">
        <f>PROPER('Original Data'!K100)</f>
        <v>Gift Card</v>
      </c>
      <c r="L100" t="s">
        <v>23</v>
      </c>
      <c r="M100" t="str" cm="1">
        <f t="array" ref="M100">_xlfn.IFS(OR('Original Data'!M100=0,'Original Data'!M100="No",'Original Data'!M100=FALSE),"No",OR('Original Data'!M100=1,'Original Data'!M100="Yes",'Original Data'!M100=TRUE),"Yes")</f>
        <v>Yes</v>
      </c>
    </row>
    <row r="101" spans="1:13" x14ac:dyDescent="0.2">
      <c r="A101">
        <v>100</v>
      </c>
      <c r="B101" t="s">
        <v>61</v>
      </c>
      <c r="C101" s="5">
        <v>45106</v>
      </c>
      <c r="D101" t="s">
        <v>62</v>
      </c>
      <c r="E101" t="s">
        <v>33</v>
      </c>
      <c r="F101" t="s">
        <v>40</v>
      </c>
      <c r="G101" t="s">
        <v>17</v>
      </c>
      <c r="H101">
        <v>1</v>
      </c>
      <c r="I101" s="7">
        <v>0.15</v>
      </c>
      <c r="J101">
        <v>29.74</v>
      </c>
      <c r="K101" t="str">
        <f>PROPER('Original Data'!K101)</f>
        <v>Apple Pay</v>
      </c>
      <c r="L101" t="s">
        <v>49</v>
      </c>
      <c r="M101" t="str" cm="1">
        <f t="array" ref="M101">_xlfn.IFS(OR('Original Data'!M101=0,'Original Data'!M101="No",'Original Data'!M101=FALSE),"No",OR('Original Data'!M101=1,'Original Data'!M101="Yes",'Original Data'!M101=TRUE),"Yes")</f>
        <v>No</v>
      </c>
    </row>
    <row r="102" spans="1:13" x14ac:dyDescent="0.2">
      <c r="A102">
        <v>101</v>
      </c>
      <c r="B102" t="s">
        <v>37</v>
      </c>
      <c r="C102" s="5">
        <v>45334</v>
      </c>
      <c r="D102" t="s">
        <v>38</v>
      </c>
      <c r="E102" t="s">
        <v>39</v>
      </c>
      <c r="F102" t="s">
        <v>26</v>
      </c>
      <c r="G102" t="s">
        <v>22</v>
      </c>
      <c r="H102">
        <v>1</v>
      </c>
      <c r="I102" s="7">
        <v>0.15</v>
      </c>
      <c r="J102">
        <v>55.21</v>
      </c>
      <c r="K102" t="s">
        <v>90</v>
      </c>
      <c r="M102" t="str" cm="1">
        <f t="array" ref="M102">_xlfn.IFS(OR('Original Data'!M102=0,'Original Data'!M102="No",'Original Data'!M102=FALSE),"No",OR('Original Data'!M102=1,'Original Data'!M102="Yes",'Original Data'!M102=TRUE),"Yes")</f>
        <v>Yes</v>
      </c>
    </row>
    <row r="103" spans="1:13" x14ac:dyDescent="0.2">
      <c r="A103">
        <v>102</v>
      </c>
      <c r="B103" t="s">
        <v>46</v>
      </c>
      <c r="C103" s="5">
        <v>45377</v>
      </c>
      <c r="D103" t="s">
        <v>47</v>
      </c>
      <c r="E103" t="s">
        <v>48</v>
      </c>
      <c r="F103" t="s">
        <v>53</v>
      </c>
      <c r="G103" t="s">
        <v>54</v>
      </c>
      <c r="H103">
        <v>3</v>
      </c>
      <c r="I103" s="7">
        <v>0.2</v>
      </c>
      <c r="J103">
        <v>119.88</v>
      </c>
      <c r="K103" t="str">
        <f>PROPER('Original Data'!K103)</f>
        <v>Apple Pay</v>
      </c>
      <c r="L103" t="s">
        <v>28</v>
      </c>
      <c r="M103" t="str" cm="1">
        <f t="array" ref="M103">_xlfn.IFS(OR('Original Data'!M103=0,'Original Data'!M103="No",'Original Data'!M103=FALSE),"No",OR('Original Data'!M103=1,'Original Data'!M103="Yes",'Original Data'!M103=TRUE),"Yes")</f>
        <v>No</v>
      </c>
    </row>
    <row r="104" spans="1:13" x14ac:dyDescent="0.2">
      <c r="A104">
        <v>103</v>
      </c>
      <c r="B104" t="s">
        <v>71</v>
      </c>
      <c r="C104" s="5">
        <v>45008</v>
      </c>
      <c r="D104" t="s">
        <v>72</v>
      </c>
      <c r="E104" t="s">
        <v>33</v>
      </c>
      <c r="F104" t="s">
        <v>21</v>
      </c>
      <c r="G104" t="s">
        <v>22</v>
      </c>
      <c r="H104">
        <v>2</v>
      </c>
      <c r="I104" s="7">
        <v>0.1</v>
      </c>
      <c r="J104">
        <v>107.91</v>
      </c>
      <c r="K104" t="str">
        <f>PROPER('Original Data'!K104)</f>
        <v>Credit Card</v>
      </c>
      <c r="M104" t="str" cm="1">
        <f t="array" ref="M104">_xlfn.IFS(OR('Original Data'!M104=0,'Original Data'!M104="No",'Original Data'!M104=FALSE),"No",OR('Original Data'!M104=1,'Original Data'!M104="Yes",'Original Data'!M104=TRUE),"Yes")</f>
        <v>Yes</v>
      </c>
    </row>
    <row r="105" spans="1:13" x14ac:dyDescent="0.2">
      <c r="A105">
        <v>104</v>
      </c>
      <c r="B105" t="s">
        <v>71</v>
      </c>
      <c r="C105" s="5">
        <v>45614</v>
      </c>
      <c r="D105" t="s">
        <v>72</v>
      </c>
      <c r="E105" t="s">
        <v>33</v>
      </c>
      <c r="F105" t="s">
        <v>40</v>
      </c>
      <c r="G105" t="s">
        <v>17</v>
      </c>
      <c r="H105">
        <v>4</v>
      </c>
      <c r="I105" s="7">
        <v>0.1</v>
      </c>
      <c r="J105">
        <v>215.82</v>
      </c>
      <c r="K105" t="str">
        <f>PROPER('Original Data'!K105)</f>
        <v>Credit Card</v>
      </c>
      <c r="L105" t="s">
        <v>23</v>
      </c>
      <c r="M105" t="str" cm="1">
        <f t="array" ref="M105">_xlfn.IFS(OR('Original Data'!M105=0,'Original Data'!M105="No",'Original Data'!M105=FALSE),"No",OR('Original Data'!M105=1,'Original Data'!M105="Yes",'Original Data'!M105=TRUE),"Yes")</f>
        <v>Yes</v>
      </c>
    </row>
    <row r="106" spans="1:13" x14ac:dyDescent="0.2">
      <c r="A106">
        <v>105</v>
      </c>
      <c r="B106" t="s">
        <v>42</v>
      </c>
      <c r="C106" s="5">
        <v>45507</v>
      </c>
      <c r="D106" t="s">
        <v>91</v>
      </c>
      <c r="E106" t="s">
        <v>15</v>
      </c>
      <c r="F106" t="s">
        <v>66</v>
      </c>
      <c r="G106" t="s">
        <v>67</v>
      </c>
      <c r="H106">
        <v>2</v>
      </c>
      <c r="I106" s="7">
        <v>0.15</v>
      </c>
      <c r="J106">
        <v>219.3</v>
      </c>
      <c r="K106" t="str">
        <f>PROPER('Original Data'!K106)</f>
        <v>Gift Card</v>
      </c>
      <c r="L106" t="s">
        <v>49</v>
      </c>
      <c r="M106" t="str" cm="1">
        <f t="array" ref="M106">_xlfn.IFS(OR('Original Data'!M106=0,'Original Data'!M106="No",'Original Data'!M106=FALSE),"No",OR('Original Data'!M106=1,'Original Data'!M106="Yes",'Original Data'!M106=TRUE),"Yes")</f>
        <v>Yes</v>
      </c>
    </row>
    <row r="107" spans="1:13" x14ac:dyDescent="0.2">
      <c r="A107">
        <v>106</v>
      </c>
      <c r="B107" t="s">
        <v>19</v>
      </c>
      <c r="C107" s="5">
        <v>45457</v>
      </c>
      <c r="D107" t="s">
        <v>20</v>
      </c>
      <c r="E107" t="s">
        <v>15</v>
      </c>
      <c r="F107" t="s">
        <v>53</v>
      </c>
      <c r="G107" t="s">
        <v>54</v>
      </c>
      <c r="H107">
        <v>1</v>
      </c>
      <c r="I107" s="7">
        <v>0</v>
      </c>
      <c r="J107">
        <v>89.95</v>
      </c>
      <c r="K107" t="str">
        <f>PROPER('Original Data'!K107)</f>
        <v>Gift Card</v>
      </c>
      <c r="L107" t="s">
        <v>45</v>
      </c>
      <c r="M107" t="str" cm="1">
        <f t="array" ref="M107">_xlfn.IFS(OR('Original Data'!M107=0,'Original Data'!M107="No",'Original Data'!M107=FALSE),"No",OR('Original Data'!M107=1,'Original Data'!M107="Yes",'Original Data'!M107=TRUE),"Yes")</f>
        <v>Yes</v>
      </c>
    </row>
    <row r="108" spans="1:13" x14ac:dyDescent="0.2">
      <c r="A108">
        <v>107</v>
      </c>
      <c r="B108" t="s">
        <v>37</v>
      </c>
      <c r="C108" s="5">
        <v>45103</v>
      </c>
      <c r="D108" t="s">
        <v>38</v>
      </c>
      <c r="E108" t="s">
        <v>39</v>
      </c>
      <c r="F108" t="s">
        <v>44</v>
      </c>
      <c r="H108">
        <v>1</v>
      </c>
      <c r="I108" s="7">
        <v>0</v>
      </c>
      <c r="J108">
        <v>64.95</v>
      </c>
      <c r="K108" t="str">
        <f>PROPER('Original Data'!K108)</f>
        <v>Gift Card</v>
      </c>
      <c r="L108" t="s">
        <v>55</v>
      </c>
      <c r="M108" t="str" cm="1">
        <f t="array" ref="M108">_xlfn.IFS(OR('Original Data'!M108=0,'Original Data'!M108="No",'Original Data'!M108=FALSE),"No",OR('Original Data'!M108=1,'Original Data'!M108="Yes",'Original Data'!M108=TRUE),"Yes")</f>
        <v>Yes</v>
      </c>
    </row>
    <row r="109" spans="1:13" x14ac:dyDescent="0.2">
      <c r="A109">
        <v>108</v>
      </c>
      <c r="B109" t="s">
        <v>50</v>
      </c>
      <c r="C109" s="5">
        <v>45156</v>
      </c>
      <c r="D109" t="s">
        <v>51</v>
      </c>
      <c r="E109" t="s">
        <v>15</v>
      </c>
      <c r="F109" t="s">
        <v>53</v>
      </c>
      <c r="G109" t="s">
        <v>54</v>
      </c>
      <c r="H109">
        <v>2</v>
      </c>
      <c r="I109" s="7">
        <v>0</v>
      </c>
      <c r="J109">
        <v>139.9</v>
      </c>
      <c r="K109" t="s">
        <v>90</v>
      </c>
      <c r="L109" t="s">
        <v>49</v>
      </c>
      <c r="M109" t="str" cm="1">
        <f t="array" ref="M109">_xlfn.IFS(OR('Original Data'!M109=0,'Original Data'!M109="No",'Original Data'!M109=FALSE),"No",OR('Original Data'!M109=1,'Original Data'!M109="Yes",'Original Data'!M109=TRUE),"Yes")</f>
        <v>No</v>
      </c>
    </row>
    <row r="110" spans="1:13" x14ac:dyDescent="0.2">
      <c r="A110">
        <v>109</v>
      </c>
      <c r="B110" t="s">
        <v>71</v>
      </c>
      <c r="C110" s="5">
        <v>45417</v>
      </c>
      <c r="D110" t="str">
        <f>VLOOKUP(B110,'Original Data'!B:D,3,FALSE)</f>
        <v>Crossbody Bag</v>
      </c>
      <c r="E110" t="str">
        <f>_xlfn.XLOOKUP('Cleaned Data'!B1155,'Original Data'!B:B,'Original Data'!E:E)</f>
        <v>Old Navy</v>
      </c>
      <c r="F110" t="s">
        <v>66</v>
      </c>
      <c r="G110" t="s">
        <v>67</v>
      </c>
      <c r="H110">
        <v>1</v>
      </c>
      <c r="I110" s="7">
        <v>0</v>
      </c>
      <c r="J110">
        <v>59.95</v>
      </c>
      <c r="K110" t="str">
        <f>PROPER('Original Data'!K110)</f>
        <v>Gift Card</v>
      </c>
      <c r="L110" t="s">
        <v>30</v>
      </c>
      <c r="M110" t="s">
        <v>92</v>
      </c>
    </row>
    <row r="111" spans="1:13" x14ac:dyDescent="0.2">
      <c r="A111">
        <v>110</v>
      </c>
      <c r="B111" t="s">
        <v>56</v>
      </c>
      <c r="C111" s="5">
        <v>45441</v>
      </c>
      <c r="D111" t="s">
        <v>57</v>
      </c>
      <c r="E111" t="s">
        <v>48</v>
      </c>
      <c r="F111" t="s">
        <v>66</v>
      </c>
      <c r="G111" t="s">
        <v>67</v>
      </c>
      <c r="H111">
        <v>5</v>
      </c>
      <c r="I111" s="7">
        <v>0</v>
      </c>
      <c r="J111">
        <v>425</v>
      </c>
      <c r="K111" t="str">
        <f>PROPER('Original Data'!K111)</f>
        <v>Gift Card</v>
      </c>
      <c r="L111" t="s">
        <v>45</v>
      </c>
      <c r="M111" t="str" cm="1">
        <f t="array" ref="M111">_xlfn.IFS(OR('Original Data'!M111=0,'Original Data'!M111="No",'Original Data'!M111=FALSE),"No",OR('Original Data'!M111=1,'Original Data'!M111="Yes",'Original Data'!M111=TRUE),"Yes")</f>
        <v>Yes</v>
      </c>
    </row>
    <row r="112" spans="1:13" x14ac:dyDescent="0.2">
      <c r="A112">
        <v>111</v>
      </c>
      <c r="B112" t="s">
        <v>42</v>
      </c>
      <c r="C112" s="5">
        <v>45567</v>
      </c>
      <c r="D112" t="s">
        <v>91</v>
      </c>
      <c r="E112" t="s">
        <v>15</v>
      </c>
      <c r="F112" t="s">
        <v>53</v>
      </c>
      <c r="G112" t="s">
        <v>54</v>
      </c>
      <c r="H112">
        <v>3</v>
      </c>
      <c r="I112" s="7">
        <v>0.05</v>
      </c>
      <c r="J112">
        <v>367.65</v>
      </c>
      <c r="K112" t="str">
        <f>PROPER('Original Data'!K112)</f>
        <v>Debit Card</v>
      </c>
      <c r="L112" t="s">
        <v>30</v>
      </c>
      <c r="M112" t="str" cm="1">
        <f t="array" ref="M112">_xlfn.IFS(OR('Original Data'!M112=0,'Original Data'!M112="No",'Original Data'!M112=FALSE),"No",OR('Original Data'!M112=1,'Original Data'!M112="Yes",'Original Data'!M112=TRUE),"Yes")</f>
        <v>Yes</v>
      </c>
    </row>
    <row r="113" spans="1:13" x14ac:dyDescent="0.2">
      <c r="A113">
        <v>112</v>
      </c>
      <c r="B113" t="s">
        <v>81</v>
      </c>
      <c r="C113" s="5">
        <v>45583</v>
      </c>
      <c r="D113" t="s">
        <v>82</v>
      </c>
      <c r="E113" t="s">
        <v>15</v>
      </c>
      <c r="F113" t="s">
        <v>40</v>
      </c>
      <c r="G113" t="s">
        <v>17</v>
      </c>
      <c r="H113">
        <v>1</v>
      </c>
      <c r="I113" s="7">
        <v>0</v>
      </c>
      <c r="J113">
        <v>79.95</v>
      </c>
      <c r="K113" t="str">
        <f>PROPER('Original Data'!K113)</f>
        <v>Credit Card</v>
      </c>
      <c r="L113" t="s">
        <v>55</v>
      </c>
      <c r="M113" t="str" cm="1">
        <f t="array" ref="M113">_xlfn.IFS(OR('Original Data'!M113=0,'Original Data'!M113="No",'Original Data'!M113=FALSE),"No",OR('Original Data'!M113=1,'Original Data'!M113="Yes",'Original Data'!M113=TRUE),"Yes")</f>
        <v>Yes</v>
      </c>
    </row>
    <row r="114" spans="1:13" x14ac:dyDescent="0.2">
      <c r="A114">
        <v>113</v>
      </c>
      <c r="B114" t="s">
        <v>83</v>
      </c>
      <c r="C114" s="5">
        <v>45001</v>
      </c>
      <c r="D114" t="s">
        <v>84</v>
      </c>
      <c r="E114" t="s">
        <v>48</v>
      </c>
      <c r="F114" t="s">
        <v>53</v>
      </c>
      <c r="G114" t="s">
        <v>54</v>
      </c>
      <c r="H114">
        <v>2</v>
      </c>
      <c r="I114" s="7">
        <v>0.2</v>
      </c>
      <c r="J114">
        <v>79.92</v>
      </c>
      <c r="K114" t="str">
        <f>PROPER('Original Data'!K114)</f>
        <v>Gift Card</v>
      </c>
      <c r="L114" t="s">
        <v>30</v>
      </c>
      <c r="M114" t="str" cm="1">
        <f t="array" ref="M114">_xlfn.IFS(OR('Original Data'!M114=0,'Original Data'!M114="No",'Original Data'!M114=FALSE),"No",OR('Original Data'!M114=1,'Original Data'!M114="Yes",'Original Data'!M114=TRUE),"Yes")</f>
        <v>No</v>
      </c>
    </row>
    <row r="115" spans="1:13" x14ac:dyDescent="0.2">
      <c r="A115">
        <v>114</v>
      </c>
      <c r="B115" t="s">
        <v>74</v>
      </c>
      <c r="C115" s="5">
        <v>45174</v>
      </c>
      <c r="D115" t="s">
        <v>75</v>
      </c>
      <c r="E115" t="s">
        <v>76</v>
      </c>
      <c r="F115" t="s">
        <v>40</v>
      </c>
      <c r="G115" t="s">
        <v>17</v>
      </c>
      <c r="H115">
        <v>2</v>
      </c>
      <c r="I115" s="7">
        <v>0</v>
      </c>
      <c r="J115">
        <v>89.9</v>
      </c>
      <c r="K115" t="str">
        <f>PROPER('Original Data'!K115)</f>
        <v>Cash</v>
      </c>
      <c r="L115" t="s">
        <v>55</v>
      </c>
      <c r="M115" t="str" cm="1">
        <f t="array" ref="M115">_xlfn.IFS(OR('Original Data'!M115=0,'Original Data'!M115="No",'Original Data'!M115=FALSE),"No",OR('Original Data'!M115=1,'Original Data'!M115="Yes",'Original Data'!M115=TRUE),"Yes")</f>
        <v>No</v>
      </c>
    </row>
    <row r="116" spans="1:13" x14ac:dyDescent="0.2">
      <c r="A116">
        <v>115</v>
      </c>
      <c r="B116" t="s">
        <v>81</v>
      </c>
      <c r="C116" s="5">
        <v>45454</v>
      </c>
      <c r="D116" t="s">
        <v>82</v>
      </c>
      <c r="E116" t="s">
        <v>15</v>
      </c>
      <c r="F116" t="s">
        <v>40</v>
      </c>
      <c r="G116" t="s">
        <v>17</v>
      </c>
      <c r="H116">
        <v>3</v>
      </c>
      <c r="I116" s="7">
        <v>0.05</v>
      </c>
      <c r="J116">
        <v>227.86</v>
      </c>
      <c r="K116" t="str">
        <f>PROPER('Original Data'!K116)</f>
        <v>Gift Card</v>
      </c>
      <c r="L116" t="s">
        <v>45</v>
      </c>
      <c r="M116" t="str" cm="1">
        <f t="array" ref="M116">_xlfn.IFS(OR('Original Data'!M116=0,'Original Data'!M116="No",'Original Data'!M116=FALSE),"No",OR('Original Data'!M116=1,'Original Data'!M116="Yes",'Original Data'!M116=TRUE),"Yes")</f>
        <v>Yes</v>
      </c>
    </row>
    <row r="117" spans="1:13" x14ac:dyDescent="0.2">
      <c r="A117">
        <v>116</v>
      </c>
      <c r="B117" t="s">
        <v>50</v>
      </c>
      <c r="C117" s="5">
        <v>44935</v>
      </c>
      <c r="D117" t="s">
        <v>51</v>
      </c>
      <c r="E117" t="s">
        <v>15</v>
      </c>
      <c r="F117" t="s">
        <v>26</v>
      </c>
      <c r="G117" t="s">
        <v>22</v>
      </c>
      <c r="H117">
        <v>4</v>
      </c>
      <c r="I117" s="7">
        <v>0.25</v>
      </c>
      <c r="J117">
        <v>209.85</v>
      </c>
      <c r="K117" t="s">
        <v>90</v>
      </c>
      <c r="L117" t="s">
        <v>30</v>
      </c>
      <c r="M117" t="str" cm="1">
        <f t="array" ref="M117">_xlfn.IFS(OR('Original Data'!M117=0,'Original Data'!M117="No",'Original Data'!M117=FALSE),"No",OR('Original Data'!M117=1,'Original Data'!M117="Yes",'Original Data'!M117=TRUE),"Yes")</f>
        <v>No</v>
      </c>
    </row>
    <row r="118" spans="1:13" x14ac:dyDescent="0.2">
      <c r="A118">
        <v>117</v>
      </c>
      <c r="B118" t="s">
        <v>42</v>
      </c>
      <c r="C118" s="5">
        <v>45623</v>
      </c>
      <c r="D118" t="s">
        <v>91</v>
      </c>
      <c r="E118" t="s">
        <v>15</v>
      </c>
      <c r="F118" t="s">
        <v>53</v>
      </c>
      <c r="G118" t="s">
        <v>54</v>
      </c>
      <c r="H118">
        <v>4</v>
      </c>
      <c r="I118" s="7">
        <v>0.25</v>
      </c>
      <c r="J118">
        <v>387</v>
      </c>
      <c r="K118" t="s">
        <v>90</v>
      </c>
      <c r="L118" t="s">
        <v>30</v>
      </c>
      <c r="M118" t="str" cm="1">
        <f t="array" ref="M118">_xlfn.IFS(OR('Original Data'!M118=0,'Original Data'!M118="No",'Original Data'!M118=FALSE),"No",OR('Original Data'!M118=1,'Original Data'!M118="Yes",'Original Data'!M118=TRUE),"Yes")</f>
        <v>Yes</v>
      </c>
    </row>
    <row r="119" spans="1:13" x14ac:dyDescent="0.2">
      <c r="A119">
        <v>118</v>
      </c>
      <c r="B119" t="s">
        <v>78</v>
      </c>
      <c r="C119" s="5">
        <v>45657</v>
      </c>
      <c r="D119" t="s">
        <v>79</v>
      </c>
      <c r="E119" t="s">
        <v>48</v>
      </c>
      <c r="F119" t="s">
        <v>21</v>
      </c>
      <c r="G119" t="s">
        <v>22</v>
      </c>
      <c r="H119">
        <v>1</v>
      </c>
      <c r="I119" s="7">
        <v>0</v>
      </c>
      <c r="J119">
        <v>39.950000000000003</v>
      </c>
      <c r="K119" t="str">
        <f>PROPER('Original Data'!K119)</f>
        <v>Debit Card</v>
      </c>
      <c r="L119" t="s">
        <v>23</v>
      </c>
      <c r="M119" t="str" cm="1">
        <f t="array" ref="M119">_xlfn.IFS(OR('Original Data'!M119=0,'Original Data'!M119="No",'Original Data'!M119=FALSE),"No",OR('Original Data'!M119=1,'Original Data'!M119="Yes",'Original Data'!M119=TRUE),"Yes")</f>
        <v>Yes</v>
      </c>
    </row>
    <row r="120" spans="1:13" x14ac:dyDescent="0.2">
      <c r="A120">
        <v>119</v>
      </c>
      <c r="B120" t="s">
        <v>81</v>
      </c>
      <c r="C120" s="5">
        <v>44944</v>
      </c>
      <c r="D120" t="s">
        <v>82</v>
      </c>
      <c r="E120" t="s">
        <v>15</v>
      </c>
      <c r="F120" t="s">
        <v>53</v>
      </c>
      <c r="G120" t="s">
        <v>54</v>
      </c>
      <c r="H120">
        <v>3</v>
      </c>
      <c r="I120" s="7">
        <v>0.25</v>
      </c>
      <c r="J120">
        <v>179.89</v>
      </c>
      <c r="K120" t="str">
        <f>PROPER('Original Data'!K120)</f>
        <v>Gift Card</v>
      </c>
      <c r="L120" t="s">
        <v>30</v>
      </c>
      <c r="M120" t="str" cm="1">
        <f t="array" ref="M120">_xlfn.IFS(OR('Original Data'!M120=0,'Original Data'!M120="No",'Original Data'!M120=FALSE),"No",OR('Original Data'!M120=1,'Original Data'!M120="Yes",'Original Data'!M120=TRUE),"Yes")</f>
        <v>Yes</v>
      </c>
    </row>
    <row r="121" spans="1:13" x14ac:dyDescent="0.2">
      <c r="A121">
        <v>120</v>
      </c>
      <c r="B121" t="s">
        <v>64</v>
      </c>
      <c r="C121" s="5">
        <v>45418</v>
      </c>
      <c r="D121" t="s">
        <v>65</v>
      </c>
      <c r="E121" t="s">
        <v>33</v>
      </c>
      <c r="F121" t="s">
        <v>44</v>
      </c>
      <c r="H121">
        <v>5</v>
      </c>
      <c r="I121" s="7">
        <v>0.05</v>
      </c>
      <c r="J121">
        <v>356.01</v>
      </c>
      <c r="K121" t="s">
        <v>90</v>
      </c>
      <c r="L121" t="s">
        <v>23</v>
      </c>
      <c r="M121" t="str" cm="1">
        <f t="array" ref="M121">_xlfn.IFS(OR('Original Data'!M121=0,'Original Data'!M121="No",'Original Data'!M121=FALSE),"No",OR('Original Data'!M121=1,'Original Data'!M121="Yes",'Original Data'!M121=TRUE),"Yes")</f>
        <v>No</v>
      </c>
    </row>
    <row r="122" spans="1:13" x14ac:dyDescent="0.2">
      <c r="A122">
        <v>121</v>
      </c>
      <c r="B122" t="s">
        <v>13</v>
      </c>
      <c r="C122" s="5">
        <v>45349</v>
      </c>
      <c r="D122" t="s">
        <v>14</v>
      </c>
      <c r="E122" t="s">
        <v>15</v>
      </c>
      <c r="F122" t="s">
        <v>34</v>
      </c>
      <c r="G122" t="s">
        <v>35</v>
      </c>
      <c r="H122">
        <v>4</v>
      </c>
      <c r="I122" s="7">
        <v>0.15</v>
      </c>
      <c r="J122">
        <v>67.97</v>
      </c>
      <c r="K122" t="str">
        <f>PROPER('Original Data'!K122)</f>
        <v>Debit Card</v>
      </c>
      <c r="L122" t="s">
        <v>28</v>
      </c>
      <c r="M122" t="str" cm="1">
        <f t="array" ref="M122">_xlfn.IFS(OR('Original Data'!M122=0,'Original Data'!M122="No",'Original Data'!M122=FALSE),"No",OR('Original Data'!M122=1,'Original Data'!M122="Yes",'Original Data'!M122=TRUE),"Yes")</f>
        <v>No</v>
      </c>
    </row>
    <row r="123" spans="1:13" x14ac:dyDescent="0.2">
      <c r="A123">
        <v>122</v>
      </c>
      <c r="B123" t="s">
        <v>83</v>
      </c>
      <c r="C123" s="5">
        <v>45397</v>
      </c>
      <c r="D123" t="s">
        <v>84</v>
      </c>
      <c r="E123" t="s">
        <v>48</v>
      </c>
      <c r="F123" t="s">
        <v>40</v>
      </c>
      <c r="G123" t="s">
        <v>17</v>
      </c>
      <c r="H123">
        <v>5</v>
      </c>
      <c r="I123" s="7">
        <v>0.2</v>
      </c>
      <c r="J123">
        <v>199.8</v>
      </c>
      <c r="K123" t="str">
        <f>PROPER('Original Data'!K123)</f>
        <v>Debit Card</v>
      </c>
      <c r="L123" t="s">
        <v>49</v>
      </c>
      <c r="M123" t="str" cm="1">
        <f t="array" ref="M123">_xlfn.IFS(OR('Original Data'!M123=0,'Original Data'!M123="No",'Original Data'!M123=FALSE),"No",OR('Original Data'!M123=1,'Original Data'!M123="Yes",'Original Data'!M123=TRUE),"Yes")</f>
        <v>No</v>
      </c>
    </row>
    <row r="124" spans="1:13" x14ac:dyDescent="0.2">
      <c r="A124">
        <v>123</v>
      </c>
      <c r="B124" t="s">
        <v>64</v>
      </c>
      <c r="C124" s="5">
        <v>45222</v>
      </c>
      <c r="D124" t="s">
        <v>65</v>
      </c>
      <c r="E124" t="s">
        <v>33</v>
      </c>
      <c r="F124" t="s">
        <v>34</v>
      </c>
      <c r="G124" t="s">
        <v>35</v>
      </c>
      <c r="H124">
        <v>5</v>
      </c>
      <c r="I124" s="7">
        <v>0.1</v>
      </c>
      <c r="J124">
        <v>337.28</v>
      </c>
      <c r="K124" t="str">
        <f>PROPER('Original Data'!K124)</f>
        <v>Cash</v>
      </c>
      <c r="L124" t="s">
        <v>63</v>
      </c>
      <c r="M124" t="str" cm="1">
        <f t="array" ref="M124">_xlfn.IFS(OR('Original Data'!M124=0,'Original Data'!M124="No",'Original Data'!M124=FALSE),"No",OR('Original Data'!M124=1,'Original Data'!M124="Yes",'Original Data'!M124=TRUE),"Yes")</f>
        <v>No</v>
      </c>
    </row>
    <row r="125" spans="1:13" x14ac:dyDescent="0.2">
      <c r="A125">
        <v>124</v>
      </c>
      <c r="B125" t="s">
        <v>74</v>
      </c>
      <c r="C125" s="5">
        <v>45221</v>
      </c>
      <c r="D125" t="s">
        <v>75</v>
      </c>
      <c r="E125" t="s">
        <v>76</v>
      </c>
      <c r="F125" t="s">
        <v>21</v>
      </c>
      <c r="G125" t="s">
        <v>22</v>
      </c>
      <c r="H125">
        <v>3</v>
      </c>
      <c r="I125" s="7">
        <v>0</v>
      </c>
      <c r="J125">
        <v>134.85</v>
      </c>
      <c r="K125" t="str">
        <f>PROPER('Original Data'!K125)</f>
        <v>Credit Card</v>
      </c>
      <c r="L125" t="s">
        <v>30</v>
      </c>
      <c r="M125" t="str" cm="1">
        <f t="array" ref="M125">_xlfn.IFS(OR('Original Data'!M125=0,'Original Data'!M125="No",'Original Data'!M125=FALSE),"No",OR('Original Data'!M125=1,'Original Data'!M125="Yes",'Original Data'!M125=TRUE),"Yes")</f>
        <v>No</v>
      </c>
    </row>
    <row r="126" spans="1:13" x14ac:dyDescent="0.2">
      <c r="A126">
        <v>125</v>
      </c>
      <c r="B126" t="s">
        <v>61</v>
      </c>
      <c r="C126" s="5">
        <v>45612</v>
      </c>
      <c r="D126" t="s">
        <v>62</v>
      </c>
      <c r="E126" t="s">
        <v>33</v>
      </c>
      <c r="F126" t="s">
        <v>53</v>
      </c>
      <c r="G126" t="s">
        <v>54</v>
      </c>
      <c r="H126">
        <v>1</v>
      </c>
      <c r="I126" s="7">
        <v>0.05</v>
      </c>
      <c r="J126">
        <v>33.24</v>
      </c>
      <c r="K126" t="str">
        <f>PROPER('Original Data'!K126)</f>
        <v>Credit Card</v>
      </c>
      <c r="L126" t="s">
        <v>63</v>
      </c>
      <c r="M126" t="str" cm="1">
        <f t="array" ref="M126">_xlfn.IFS(OR('Original Data'!M126=0,'Original Data'!M126="No",'Original Data'!M126=FALSE),"No",OR('Original Data'!M126=1,'Original Data'!M126="Yes",'Original Data'!M126=TRUE),"Yes")</f>
        <v>No</v>
      </c>
    </row>
    <row r="127" spans="1:13" x14ac:dyDescent="0.2">
      <c r="A127">
        <v>126</v>
      </c>
      <c r="B127" t="s">
        <v>85</v>
      </c>
      <c r="C127" s="5">
        <v>45255</v>
      </c>
      <c r="D127" t="s">
        <v>86</v>
      </c>
      <c r="E127" t="s">
        <v>76</v>
      </c>
      <c r="F127" t="s">
        <v>66</v>
      </c>
      <c r="G127" t="s">
        <v>67</v>
      </c>
      <c r="H127">
        <v>4</v>
      </c>
      <c r="I127" s="7">
        <v>0.25</v>
      </c>
      <c r="J127">
        <v>269.85000000000002</v>
      </c>
      <c r="K127" t="str">
        <f>PROPER('Original Data'!K127)</f>
        <v>Cash</v>
      </c>
      <c r="L127" t="s">
        <v>63</v>
      </c>
      <c r="M127" t="str" cm="1">
        <f t="array" ref="M127">_xlfn.IFS(OR('Original Data'!M127=0,'Original Data'!M127="No",'Original Data'!M127=FALSE),"No",OR('Original Data'!M127=1,'Original Data'!M127="Yes",'Original Data'!M127=TRUE),"Yes")</f>
        <v>Yes</v>
      </c>
    </row>
    <row r="128" spans="1:13" x14ac:dyDescent="0.2">
      <c r="A128">
        <v>127</v>
      </c>
      <c r="B128" t="s">
        <v>85</v>
      </c>
      <c r="C128" s="5">
        <v>45117</v>
      </c>
      <c r="D128" t="s">
        <v>86</v>
      </c>
      <c r="E128" t="s">
        <v>76</v>
      </c>
      <c r="F128" t="s">
        <v>66</v>
      </c>
      <c r="G128" t="s">
        <v>67</v>
      </c>
      <c r="H128">
        <v>2</v>
      </c>
      <c r="I128" s="7">
        <v>0</v>
      </c>
      <c r="J128">
        <v>179.9</v>
      </c>
      <c r="K128" t="str">
        <f>PROPER('Original Data'!K128)</f>
        <v>Gift Card</v>
      </c>
      <c r="L128" t="s">
        <v>28</v>
      </c>
      <c r="M128" t="str" cm="1">
        <f t="array" ref="M128">_xlfn.IFS(OR('Original Data'!M128=0,'Original Data'!M128="No",'Original Data'!M128=FALSE),"No",OR('Original Data'!M128=1,'Original Data'!M128="Yes",'Original Data'!M128=TRUE),"Yes")</f>
        <v>Yes</v>
      </c>
    </row>
    <row r="129" spans="1:13" x14ac:dyDescent="0.2">
      <c r="A129">
        <v>128</v>
      </c>
      <c r="B129" t="s">
        <v>61</v>
      </c>
      <c r="C129" s="5">
        <v>45042</v>
      </c>
      <c r="D129" t="s">
        <v>62</v>
      </c>
      <c r="E129" t="s">
        <v>33</v>
      </c>
      <c r="F129" t="s">
        <v>44</v>
      </c>
      <c r="H129">
        <v>5</v>
      </c>
      <c r="I129" s="7">
        <v>0.25</v>
      </c>
      <c r="J129">
        <v>131.21</v>
      </c>
      <c r="K129" t="str">
        <f>PROPER('Original Data'!K129)</f>
        <v>Debit Card</v>
      </c>
      <c r="L129" t="s">
        <v>30</v>
      </c>
      <c r="M129" t="str" cm="1">
        <f t="array" ref="M129">_xlfn.IFS(OR('Original Data'!M129=0,'Original Data'!M129="No",'Original Data'!M129=FALSE),"No",OR('Original Data'!M129=1,'Original Data'!M129="Yes",'Original Data'!M129=TRUE),"Yes")</f>
        <v>No</v>
      </c>
    </row>
    <row r="130" spans="1:13" x14ac:dyDescent="0.2">
      <c r="A130">
        <v>129</v>
      </c>
      <c r="B130" t="s">
        <v>71</v>
      </c>
      <c r="C130" s="5">
        <v>45337</v>
      </c>
      <c r="D130" t="s">
        <v>72</v>
      </c>
      <c r="E130" t="s">
        <v>33</v>
      </c>
      <c r="F130" t="s">
        <v>66</v>
      </c>
      <c r="G130" t="s">
        <v>67</v>
      </c>
      <c r="H130">
        <v>4</v>
      </c>
      <c r="I130" s="7">
        <v>0.2</v>
      </c>
      <c r="J130">
        <v>191.84</v>
      </c>
      <c r="K130" t="str">
        <f>PROPER('Original Data'!K130)</f>
        <v>Credit Card</v>
      </c>
      <c r="L130" t="s">
        <v>49</v>
      </c>
      <c r="M130" t="str" cm="1">
        <f t="array" ref="M130">_xlfn.IFS(OR('Original Data'!M130=0,'Original Data'!M130="No",'Original Data'!M130=FALSE),"No",OR('Original Data'!M130=1,'Original Data'!M130="Yes",'Original Data'!M130=TRUE),"Yes")</f>
        <v>Yes</v>
      </c>
    </row>
    <row r="131" spans="1:13" x14ac:dyDescent="0.2">
      <c r="A131">
        <v>130</v>
      </c>
      <c r="B131" t="s">
        <v>50</v>
      </c>
      <c r="C131" s="5">
        <v>45295</v>
      </c>
      <c r="D131" t="s">
        <v>51</v>
      </c>
      <c r="E131" t="s">
        <v>15</v>
      </c>
      <c r="F131" t="s">
        <v>40</v>
      </c>
      <c r="G131" t="s">
        <v>17</v>
      </c>
      <c r="H131">
        <v>5</v>
      </c>
      <c r="I131" s="7">
        <v>0</v>
      </c>
      <c r="J131">
        <v>349.75</v>
      </c>
      <c r="K131" t="str">
        <f>PROPER('Original Data'!K131)</f>
        <v>Apple Pay</v>
      </c>
      <c r="L131" t="s">
        <v>30</v>
      </c>
      <c r="M131" t="str" cm="1">
        <f t="array" ref="M131">_xlfn.IFS(OR('Original Data'!M131=0,'Original Data'!M131="No",'Original Data'!M131=FALSE),"No",OR('Original Data'!M131=1,'Original Data'!M131="Yes",'Original Data'!M131=TRUE),"Yes")</f>
        <v>No</v>
      </c>
    </row>
    <row r="132" spans="1:13" x14ac:dyDescent="0.2">
      <c r="A132">
        <v>131</v>
      </c>
      <c r="B132" t="s">
        <v>50</v>
      </c>
      <c r="C132" s="5">
        <v>45416</v>
      </c>
      <c r="D132" t="s">
        <v>51</v>
      </c>
      <c r="E132" t="s">
        <v>15</v>
      </c>
      <c r="F132" t="s">
        <v>16</v>
      </c>
      <c r="G132" t="s">
        <v>17</v>
      </c>
      <c r="H132">
        <v>3</v>
      </c>
      <c r="I132" s="7">
        <v>0.05</v>
      </c>
      <c r="J132">
        <v>199.36</v>
      </c>
      <c r="K132" t="str">
        <f>PROPER('Original Data'!K132)</f>
        <v>Debit Card</v>
      </c>
      <c r="L132" t="s">
        <v>63</v>
      </c>
      <c r="M132" t="str" cm="1">
        <f t="array" ref="M132">_xlfn.IFS(OR('Original Data'!M132=0,'Original Data'!M132="No",'Original Data'!M132=FALSE),"No",OR('Original Data'!M132=1,'Original Data'!M132="Yes",'Original Data'!M132=TRUE),"Yes")</f>
        <v>No</v>
      </c>
    </row>
    <row r="133" spans="1:13" x14ac:dyDescent="0.2">
      <c r="A133">
        <v>132</v>
      </c>
      <c r="B133" t="s">
        <v>71</v>
      </c>
      <c r="C133" s="5">
        <v>45504</v>
      </c>
      <c r="D133" t="s">
        <v>72</v>
      </c>
      <c r="E133" t="s">
        <v>33</v>
      </c>
      <c r="F133" t="s">
        <v>34</v>
      </c>
      <c r="G133" t="s">
        <v>35</v>
      </c>
      <c r="H133">
        <v>1</v>
      </c>
      <c r="I133" s="7">
        <v>0.25</v>
      </c>
      <c r="J133">
        <v>44.96</v>
      </c>
      <c r="K133" t="str">
        <f>PROPER('Original Data'!K133)</f>
        <v>Credit Card</v>
      </c>
      <c r="L133" t="s">
        <v>49</v>
      </c>
      <c r="M133" t="str" cm="1">
        <f t="array" ref="M133">_xlfn.IFS(OR('Original Data'!M133=0,'Original Data'!M133="No",'Original Data'!M133=FALSE),"No",OR('Original Data'!M133=1,'Original Data'!M133="Yes",'Original Data'!M133=TRUE),"Yes")</f>
        <v>Yes</v>
      </c>
    </row>
    <row r="134" spans="1:13" x14ac:dyDescent="0.2">
      <c r="A134">
        <v>133</v>
      </c>
      <c r="B134" t="s">
        <v>81</v>
      </c>
      <c r="C134" s="5">
        <v>45391</v>
      </c>
      <c r="D134" t="s">
        <v>82</v>
      </c>
      <c r="E134" t="s">
        <v>15</v>
      </c>
      <c r="F134" t="s">
        <v>34</v>
      </c>
      <c r="G134" t="s">
        <v>35</v>
      </c>
      <c r="H134">
        <v>4</v>
      </c>
      <c r="I134" s="7">
        <v>0</v>
      </c>
      <c r="J134">
        <v>319.8</v>
      </c>
      <c r="K134" t="str">
        <f>PROPER('Original Data'!K134)</f>
        <v>Credit Card</v>
      </c>
      <c r="L134" t="s">
        <v>41</v>
      </c>
      <c r="M134" t="str" cm="1">
        <f t="array" ref="M134">_xlfn.IFS(OR('Original Data'!M134=0,'Original Data'!M134="No",'Original Data'!M134=FALSE),"No",OR('Original Data'!M134=1,'Original Data'!M134="Yes",'Original Data'!M134=TRUE),"Yes")</f>
        <v>Yes</v>
      </c>
    </row>
    <row r="135" spans="1:13" x14ac:dyDescent="0.2">
      <c r="A135">
        <v>134</v>
      </c>
      <c r="B135" t="s">
        <v>81</v>
      </c>
      <c r="C135" s="5">
        <v>45644</v>
      </c>
      <c r="D135" t="s">
        <v>82</v>
      </c>
      <c r="E135" t="s">
        <v>15</v>
      </c>
      <c r="F135" t="s">
        <v>34</v>
      </c>
      <c r="G135" t="s">
        <v>35</v>
      </c>
      <c r="H135">
        <v>1</v>
      </c>
      <c r="I135" s="7">
        <v>0</v>
      </c>
      <c r="J135">
        <v>79.95</v>
      </c>
      <c r="K135" t="str">
        <f>PROPER('Original Data'!K135)</f>
        <v>Cash</v>
      </c>
      <c r="L135" t="s">
        <v>28</v>
      </c>
      <c r="M135" t="str" cm="1">
        <f t="array" ref="M135">_xlfn.IFS(OR('Original Data'!M135=0,'Original Data'!M135="No",'Original Data'!M135=FALSE),"No",OR('Original Data'!M135=1,'Original Data'!M135="Yes",'Original Data'!M135=TRUE),"Yes")</f>
        <v>Yes</v>
      </c>
    </row>
    <row r="136" spans="1:13" x14ac:dyDescent="0.2">
      <c r="A136">
        <v>135</v>
      </c>
      <c r="B136" t="s">
        <v>85</v>
      </c>
      <c r="C136" s="5">
        <v>45311</v>
      </c>
      <c r="D136" t="s">
        <v>86</v>
      </c>
      <c r="E136" t="s">
        <v>76</v>
      </c>
      <c r="F136" t="s">
        <v>66</v>
      </c>
      <c r="G136" t="s">
        <v>67</v>
      </c>
      <c r="H136">
        <v>3</v>
      </c>
      <c r="I136" s="7">
        <v>0.2</v>
      </c>
      <c r="J136">
        <v>215.88</v>
      </c>
      <c r="K136" t="str">
        <f>PROPER('Original Data'!K136)</f>
        <v>Gift Card</v>
      </c>
      <c r="L136" t="s">
        <v>41</v>
      </c>
      <c r="M136" t="str" cm="1">
        <f t="array" ref="M136">_xlfn.IFS(OR('Original Data'!M136=0,'Original Data'!M136="No",'Original Data'!M136=FALSE),"No",OR('Original Data'!M136=1,'Original Data'!M136="Yes",'Original Data'!M136=TRUE),"Yes")</f>
        <v>Yes</v>
      </c>
    </row>
    <row r="137" spans="1:13" x14ac:dyDescent="0.2">
      <c r="A137">
        <v>136</v>
      </c>
      <c r="B137" t="s">
        <v>13</v>
      </c>
      <c r="C137" s="5">
        <v>45484</v>
      </c>
      <c r="D137" t="s">
        <v>14</v>
      </c>
      <c r="E137" t="s">
        <v>15</v>
      </c>
      <c r="F137" t="s">
        <v>34</v>
      </c>
      <c r="G137" t="s">
        <v>35</v>
      </c>
      <c r="H137">
        <v>1</v>
      </c>
      <c r="I137" s="7">
        <v>0.1</v>
      </c>
      <c r="J137">
        <v>17.989999999999998</v>
      </c>
      <c r="K137" t="str">
        <f>PROPER('Original Data'!K137)</f>
        <v>Apple Pay</v>
      </c>
      <c r="L137" t="s">
        <v>41</v>
      </c>
      <c r="M137" t="str" cm="1">
        <f t="array" ref="M137">_xlfn.IFS(OR('Original Data'!M137=0,'Original Data'!M137="No",'Original Data'!M137=FALSE),"No",OR('Original Data'!M137=1,'Original Data'!M137="Yes",'Original Data'!M137=TRUE),"Yes")</f>
        <v>No</v>
      </c>
    </row>
    <row r="138" spans="1:13" x14ac:dyDescent="0.2">
      <c r="A138">
        <v>137</v>
      </c>
      <c r="B138" t="s">
        <v>71</v>
      </c>
      <c r="C138" s="5">
        <v>45030</v>
      </c>
      <c r="D138" t="s">
        <v>72</v>
      </c>
      <c r="E138" t="s">
        <v>33</v>
      </c>
      <c r="G138" t="s">
        <v>25</v>
      </c>
      <c r="H138">
        <v>1</v>
      </c>
      <c r="I138" s="7">
        <v>0</v>
      </c>
      <c r="J138">
        <v>59.95</v>
      </c>
      <c r="K138" t="str">
        <f>PROPER('Original Data'!K138)</f>
        <v>Credit Card</v>
      </c>
      <c r="L138" t="s">
        <v>63</v>
      </c>
      <c r="M138" t="str" cm="1">
        <f t="array" ref="M138">_xlfn.IFS(OR('Original Data'!M138=0,'Original Data'!M138="No",'Original Data'!M138=FALSE),"No",OR('Original Data'!M138=1,'Original Data'!M138="Yes",'Original Data'!M138=TRUE),"Yes")</f>
        <v>Yes</v>
      </c>
    </row>
    <row r="139" spans="1:13" x14ac:dyDescent="0.2">
      <c r="A139">
        <v>138</v>
      </c>
      <c r="B139" t="s">
        <v>61</v>
      </c>
      <c r="C139" s="5">
        <v>45516</v>
      </c>
      <c r="D139" t="s">
        <v>62</v>
      </c>
      <c r="E139" t="s">
        <v>33</v>
      </c>
      <c r="F139" t="s">
        <v>26</v>
      </c>
      <c r="G139" t="s">
        <v>22</v>
      </c>
      <c r="H139">
        <v>5</v>
      </c>
      <c r="I139" s="7">
        <v>0.1</v>
      </c>
      <c r="J139">
        <v>157.46</v>
      </c>
      <c r="K139" t="str">
        <f>PROPER('Original Data'!K139)</f>
        <v>Apple Pay</v>
      </c>
      <c r="L139" t="s">
        <v>63</v>
      </c>
      <c r="M139" t="str" cm="1">
        <f t="array" ref="M139">_xlfn.IFS(OR('Original Data'!M139=0,'Original Data'!M139="No",'Original Data'!M139=FALSE),"No",OR('Original Data'!M139=1,'Original Data'!M139="Yes",'Original Data'!M139=TRUE),"Yes")</f>
        <v>No</v>
      </c>
    </row>
    <row r="140" spans="1:13" x14ac:dyDescent="0.2">
      <c r="A140">
        <v>139</v>
      </c>
      <c r="B140" t="s">
        <v>58</v>
      </c>
      <c r="C140" s="5">
        <v>45434</v>
      </c>
      <c r="D140" t="s">
        <v>59</v>
      </c>
      <c r="E140" t="s">
        <v>15</v>
      </c>
      <c r="F140" t="s">
        <v>53</v>
      </c>
      <c r="G140" t="s">
        <v>54</v>
      </c>
      <c r="H140">
        <v>5</v>
      </c>
      <c r="I140" s="7">
        <v>0</v>
      </c>
      <c r="J140">
        <v>299.75</v>
      </c>
      <c r="K140" t="s">
        <v>90</v>
      </c>
      <c r="L140" t="s">
        <v>28</v>
      </c>
      <c r="M140" t="str" cm="1">
        <f t="array" ref="M140">_xlfn.IFS(OR('Original Data'!M140=0,'Original Data'!M140="No",'Original Data'!M140=FALSE),"No",OR('Original Data'!M140=1,'Original Data'!M140="Yes",'Original Data'!M140=TRUE),"Yes")</f>
        <v>Yes</v>
      </c>
    </row>
    <row r="141" spans="1:13" x14ac:dyDescent="0.2">
      <c r="A141">
        <v>140</v>
      </c>
      <c r="B141" t="s">
        <v>19</v>
      </c>
      <c r="C141" s="5">
        <v>44986</v>
      </c>
      <c r="D141" t="s">
        <v>20</v>
      </c>
      <c r="E141" t="s">
        <v>15</v>
      </c>
      <c r="F141" t="s">
        <v>44</v>
      </c>
      <c r="H141">
        <v>2</v>
      </c>
      <c r="I141" s="7">
        <v>0.1</v>
      </c>
      <c r="J141">
        <v>161.91</v>
      </c>
      <c r="K141" t="str">
        <f>PROPER('Original Data'!K141)</f>
        <v>Gift Card</v>
      </c>
      <c r="L141" t="s">
        <v>45</v>
      </c>
      <c r="M141" t="str" cm="1">
        <f t="array" ref="M141">_xlfn.IFS(OR('Original Data'!M141=0,'Original Data'!M141="No",'Original Data'!M141=FALSE),"No",OR('Original Data'!M141=1,'Original Data'!M141="Yes",'Original Data'!M141=TRUE),"Yes")</f>
        <v>Yes</v>
      </c>
    </row>
    <row r="142" spans="1:13" x14ac:dyDescent="0.2">
      <c r="A142">
        <v>141</v>
      </c>
      <c r="B142" t="s">
        <v>42</v>
      </c>
      <c r="C142" s="5">
        <v>45313</v>
      </c>
      <c r="D142" t="s">
        <v>91</v>
      </c>
      <c r="E142" t="s">
        <v>15</v>
      </c>
      <c r="F142" t="s">
        <v>40</v>
      </c>
      <c r="G142" t="s">
        <v>17</v>
      </c>
      <c r="H142">
        <v>5</v>
      </c>
      <c r="I142" s="7">
        <v>0.05</v>
      </c>
      <c r="J142">
        <v>612.75</v>
      </c>
      <c r="K142" t="str">
        <f>PROPER('Original Data'!K142)</f>
        <v>Cash</v>
      </c>
      <c r="L142" t="s">
        <v>23</v>
      </c>
      <c r="M142" t="str" cm="1">
        <f t="array" ref="M142">_xlfn.IFS(OR('Original Data'!M142=0,'Original Data'!M142="No",'Original Data'!M142=FALSE),"No",OR('Original Data'!M142=1,'Original Data'!M142="Yes",'Original Data'!M142=TRUE),"Yes")</f>
        <v>Yes</v>
      </c>
    </row>
    <row r="143" spans="1:13" x14ac:dyDescent="0.2">
      <c r="A143">
        <v>142</v>
      </c>
      <c r="B143" t="s">
        <v>88</v>
      </c>
      <c r="C143" s="5">
        <v>45047</v>
      </c>
      <c r="D143" t="s">
        <v>89</v>
      </c>
      <c r="E143" t="s">
        <v>33</v>
      </c>
      <c r="F143" t="s">
        <v>34</v>
      </c>
      <c r="G143" t="s">
        <v>35</v>
      </c>
      <c r="H143">
        <v>3</v>
      </c>
      <c r="I143" s="7">
        <v>0</v>
      </c>
      <c r="J143">
        <v>594</v>
      </c>
      <c r="K143" t="str">
        <f>PROPER('Original Data'!K143)</f>
        <v>Debit Card</v>
      </c>
      <c r="L143" t="s">
        <v>63</v>
      </c>
      <c r="M143" t="str" cm="1">
        <f t="array" ref="M143">_xlfn.IFS(OR('Original Data'!M143=0,'Original Data'!M143="No",'Original Data'!M143=FALSE),"No",OR('Original Data'!M143=1,'Original Data'!M143="Yes",'Original Data'!M143=TRUE),"Yes")</f>
        <v>No</v>
      </c>
    </row>
    <row r="144" spans="1:13" x14ac:dyDescent="0.2">
      <c r="A144">
        <v>143</v>
      </c>
      <c r="B144" t="s">
        <v>24</v>
      </c>
      <c r="C144" s="5">
        <v>45295</v>
      </c>
      <c r="D144" t="s">
        <v>87</v>
      </c>
      <c r="E144" t="s">
        <v>39</v>
      </c>
      <c r="F144" t="s">
        <v>21</v>
      </c>
      <c r="G144" t="s">
        <v>22</v>
      </c>
      <c r="H144">
        <v>5</v>
      </c>
      <c r="I144" s="7">
        <v>0.15</v>
      </c>
      <c r="J144">
        <v>191.04</v>
      </c>
      <c r="K144" t="str">
        <f>PROPER('Original Data'!K144)</f>
        <v>Cash</v>
      </c>
      <c r="L144" t="s">
        <v>30</v>
      </c>
      <c r="M144" t="str" cm="1">
        <f t="array" ref="M144">_xlfn.IFS(OR('Original Data'!M144=0,'Original Data'!M144="No",'Original Data'!M144=FALSE),"No",OR('Original Data'!M144=1,'Original Data'!M144="Yes",'Original Data'!M144=TRUE),"Yes")</f>
        <v>Yes</v>
      </c>
    </row>
    <row r="145" spans="1:13" x14ac:dyDescent="0.2">
      <c r="A145">
        <v>144</v>
      </c>
      <c r="B145" t="s">
        <v>81</v>
      </c>
      <c r="C145" s="5">
        <v>45493</v>
      </c>
      <c r="D145" t="s">
        <v>82</v>
      </c>
      <c r="E145" t="s">
        <v>15</v>
      </c>
      <c r="F145" t="s">
        <v>26</v>
      </c>
      <c r="G145" t="s">
        <v>22</v>
      </c>
      <c r="H145">
        <v>2</v>
      </c>
      <c r="I145" s="7">
        <v>0</v>
      </c>
      <c r="J145">
        <v>159.9</v>
      </c>
      <c r="K145" t="str">
        <f>PROPER('Original Data'!K145)</f>
        <v>Cash</v>
      </c>
      <c r="L145" t="s">
        <v>23</v>
      </c>
      <c r="M145" t="str" cm="1">
        <f t="array" ref="M145">_xlfn.IFS(OR('Original Data'!M145=0,'Original Data'!M145="No",'Original Data'!M145=FALSE),"No",OR('Original Data'!M145=1,'Original Data'!M145="Yes",'Original Data'!M145=TRUE),"Yes")</f>
        <v>Yes</v>
      </c>
    </row>
    <row r="146" spans="1:13" x14ac:dyDescent="0.2">
      <c r="A146">
        <v>145</v>
      </c>
      <c r="B146" t="s">
        <v>64</v>
      </c>
      <c r="C146" s="5">
        <v>45287</v>
      </c>
      <c r="D146" t="s">
        <v>65</v>
      </c>
      <c r="E146" t="s">
        <v>33</v>
      </c>
      <c r="F146" t="s">
        <v>40</v>
      </c>
      <c r="G146" t="s">
        <v>17</v>
      </c>
      <c r="H146">
        <v>4</v>
      </c>
      <c r="I146" s="7">
        <v>0.25</v>
      </c>
      <c r="J146">
        <v>224.85</v>
      </c>
      <c r="K146" t="str">
        <f>PROPER('Original Data'!K146)</f>
        <v>Debit Card</v>
      </c>
      <c r="L146" t="s">
        <v>41</v>
      </c>
      <c r="M146" t="str" cm="1">
        <f t="array" ref="M146">_xlfn.IFS(OR('Original Data'!M146=0,'Original Data'!M146="No",'Original Data'!M146=FALSE),"No",OR('Original Data'!M146=1,'Original Data'!M146="Yes",'Original Data'!M146=TRUE),"Yes")</f>
        <v>No</v>
      </c>
    </row>
    <row r="147" spans="1:13" x14ac:dyDescent="0.2">
      <c r="A147">
        <v>146</v>
      </c>
      <c r="B147" t="s">
        <v>58</v>
      </c>
      <c r="C147" s="5">
        <v>45163</v>
      </c>
      <c r="D147" t="s">
        <v>59</v>
      </c>
      <c r="E147" t="s">
        <v>15</v>
      </c>
      <c r="F147" t="s">
        <v>16</v>
      </c>
      <c r="G147" t="s">
        <v>17</v>
      </c>
      <c r="H147">
        <v>1</v>
      </c>
      <c r="I147" s="7">
        <v>0.2</v>
      </c>
      <c r="J147">
        <v>47.96</v>
      </c>
      <c r="K147" t="str">
        <f>PROPER('Original Data'!K147)</f>
        <v>Apple Pay</v>
      </c>
      <c r="L147" t="s">
        <v>45</v>
      </c>
      <c r="M147" t="str" cm="1">
        <f t="array" ref="M147">_xlfn.IFS(OR('Original Data'!M147=0,'Original Data'!M147="No",'Original Data'!M147=FALSE),"No",OR('Original Data'!M147=1,'Original Data'!M147="Yes",'Original Data'!M147=TRUE),"Yes")</f>
        <v>Yes</v>
      </c>
    </row>
    <row r="148" spans="1:13" x14ac:dyDescent="0.2">
      <c r="A148">
        <v>147</v>
      </c>
      <c r="B148" t="s">
        <v>83</v>
      </c>
      <c r="C148" s="5">
        <v>44944</v>
      </c>
      <c r="D148" t="s">
        <v>84</v>
      </c>
      <c r="E148" t="s">
        <v>48</v>
      </c>
      <c r="F148" t="s">
        <v>44</v>
      </c>
      <c r="H148">
        <v>1</v>
      </c>
      <c r="I148" s="7">
        <v>0</v>
      </c>
      <c r="J148">
        <v>49.95</v>
      </c>
      <c r="K148" t="str">
        <f>PROPER('Original Data'!K148)</f>
        <v>Credit Card</v>
      </c>
      <c r="L148" t="s">
        <v>28</v>
      </c>
      <c r="M148" t="str" cm="1">
        <f t="array" ref="M148">_xlfn.IFS(OR('Original Data'!M148=0,'Original Data'!M148="No",'Original Data'!M148=FALSE),"No",OR('Original Data'!M148=1,'Original Data'!M148="Yes",'Original Data'!M148=TRUE),"Yes")</f>
        <v>No</v>
      </c>
    </row>
    <row r="149" spans="1:13" x14ac:dyDescent="0.2">
      <c r="A149">
        <v>148</v>
      </c>
      <c r="B149" t="s">
        <v>78</v>
      </c>
      <c r="C149" s="5">
        <v>45466</v>
      </c>
      <c r="D149" t="s">
        <v>79</v>
      </c>
      <c r="E149" t="s">
        <v>48</v>
      </c>
      <c r="F149" t="s">
        <v>16</v>
      </c>
      <c r="G149" t="s">
        <v>17</v>
      </c>
      <c r="H149">
        <v>2</v>
      </c>
      <c r="I149" s="7">
        <v>0.05</v>
      </c>
      <c r="J149">
        <v>75.900000000000006</v>
      </c>
      <c r="K149" t="s">
        <v>90</v>
      </c>
      <c r="L149" t="s">
        <v>63</v>
      </c>
      <c r="M149" t="str" cm="1">
        <f t="array" ref="M149">_xlfn.IFS(OR('Original Data'!M149=0,'Original Data'!M149="No",'Original Data'!M149=FALSE),"No",OR('Original Data'!M149=1,'Original Data'!M149="Yes",'Original Data'!M149=TRUE),"Yes")</f>
        <v>Yes</v>
      </c>
    </row>
    <row r="150" spans="1:13" x14ac:dyDescent="0.2">
      <c r="A150">
        <v>149</v>
      </c>
      <c r="B150" t="s">
        <v>58</v>
      </c>
      <c r="C150" s="5">
        <v>45492</v>
      </c>
      <c r="D150" t="s">
        <v>59</v>
      </c>
      <c r="E150" t="s">
        <v>15</v>
      </c>
      <c r="F150" t="s">
        <v>16</v>
      </c>
      <c r="G150" t="s">
        <v>17</v>
      </c>
      <c r="H150">
        <v>1</v>
      </c>
      <c r="I150" s="7">
        <v>0.2</v>
      </c>
      <c r="J150">
        <v>47.96</v>
      </c>
      <c r="K150" t="str">
        <f>PROPER('Original Data'!K150)</f>
        <v>Gift Card</v>
      </c>
      <c r="L150" t="s">
        <v>28</v>
      </c>
      <c r="M150" t="str" cm="1">
        <f t="array" ref="M150">_xlfn.IFS(OR('Original Data'!M150=0,'Original Data'!M150="No",'Original Data'!M150=FALSE),"No",OR('Original Data'!M150=1,'Original Data'!M150="Yes",'Original Data'!M150=TRUE),"Yes")</f>
        <v>Yes</v>
      </c>
    </row>
    <row r="151" spans="1:13" x14ac:dyDescent="0.2">
      <c r="A151">
        <v>150</v>
      </c>
      <c r="B151" t="s">
        <v>78</v>
      </c>
      <c r="C151" s="5">
        <v>45507</v>
      </c>
      <c r="D151" t="s">
        <v>79</v>
      </c>
      <c r="E151" t="s">
        <v>48</v>
      </c>
      <c r="F151" t="s">
        <v>16</v>
      </c>
      <c r="G151" t="s">
        <v>17</v>
      </c>
      <c r="H151">
        <v>1</v>
      </c>
      <c r="I151" s="7">
        <v>0.05</v>
      </c>
      <c r="J151">
        <v>37.950000000000003</v>
      </c>
      <c r="K151" t="str">
        <f>PROPER('Original Data'!K151)</f>
        <v>Apple Pay</v>
      </c>
      <c r="L151" t="s">
        <v>63</v>
      </c>
      <c r="M151" t="str" cm="1">
        <f t="array" ref="M151">_xlfn.IFS(OR('Original Data'!M151=0,'Original Data'!M151="No",'Original Data'!M151=FALSE),"No",OR('Original Data'!M151=1,'Original Data'!M151="Yes",'Original Data'!M151=TRUE),"Yes")</f>
        <v>Yes</v>
      </c>
    </row>
    <row r="152" spans="1:13" x14ac:dyDescent="0.2">
      <c r="A152">
        <v>151</v>
      </c>
      <c r="B152" t="s">
        <v>37</v>
      </c>
      <c r="C152" s="5">
        <v>45233</v>
      </c>
      <c r="D152" t="s">
        <v>38</v>
      </c>
      <c r="E152" t="s">
        <v>39</v>
      </c>
      <c r="F152" t="s">
        <v>26</v>
      </c>
      <c r="G152" t="s">
        <v>22</v>
      </c>
      <c r="H152">
        <v>5</v>
      </c>
      <c r="I152" s="7">
        <v>0</v>
      </c>
      <c r="J152">
        <v>324.75</v>
      </c>
      <c r="K152" t="str">
        <f>PROPER('Original Data'!K152)</f>
        <v>Credit Card</v>
      </c>
      <c r="L152" t="s">
        <v>28</v>
      </c>
      <c r="M152" t="str" cm="1">
        <f t="array" ref="M152">_xlfn.IFS(OR('Original Data'!M152=0,'Original Data'!M152="No",'Original Data'!M152=FALSE),"No",OR('Original Data'!M152=1,'Original Data'!M152="Yes",'Original Data'!M152=TRUE),"Yes")</f>
        <v>Yes</v>
      </c>
    </row>
    <row r="153" spans="1:13" x14ac:dyDescent="0.2">
      <c r="A153">
        <v>152</v>
      </c>
      <c r="B153" t="s">
        <v>78</v>
      </c>
      <c r="C153" s="5">
        <v>45164</v>
      </c>
      <c r="D153" t="str">
        <f>VLOOKUP(B153,'Original Data'!B:D,3,FALSE)</f>
        <v>Cargo Shorts</v>
      </c>
      <c r="E153" t="str">
        <f>_xlfn.XLOOKUP('Cleaned Data'!B954,'Original Data'!B:B,'Original Data'!E:E)</f>
        <v>Old Navy</v>
      </c>
      <c r="F153" t="s">
        <v>16</v>
      </c>
      <c r="G153" t="s">
        <v>17</v>
      </c>
      <c r="H153">
        <v>3</v>
      </c>
      <c r="I153" s="7">
        <v>0</v>
      </c>
      <c r="J153">
        <v>119.85</v>
      </c>
      <c r="K153" t="str">
        <f>PROPER('Original Data'!K153)</f>
        <v>Gift Card</v>
      </c>
      <c r="L153" t="s">
        <v>55</v>
      </c>
      <c r="M153" t="s">
        <v>92</v>
      </c>
    </row>
    <row r="154" spans="1:13" x14ac:dyDescent="0.2">
      <c r="A154">
        <v>153</v>
      </c>
      <c r="B154" t="s">
        <v>19</v>
      </c>
      <c r="C154" s="5">
        <v>45623</v>
      </c>
      <c r="D154" t="s">
        <v>20</v>
      </c>
      <c r="E154" t="s">
        <v>15</v>
      </c>
      <c r="F154" t="s">
        <v>44</v>
      </c>
      <c r="H154">
        <v>3</v>
      </c>
      <c r="I154" s="7">
        <v>0.2</v>
      </c>
      <c r="J154">
        <v>215.88</v>
      </c>
      <c r="K154" t="str">
        <f>PROPER('Original Data'!K154)</f>
        <v>Debit Card</v>
      </c>
      <c r="L154" t="s">
        <v>28</v>
      </c>
      <c r="M154" t="str" cm="1">
        <f t="array" ref="M154">_xlfn.IFS(OR('Original Data'!M154=0,'Original Data'!M154="No",'Original Data'!M154=FALSE),"No",OR('Original Data'!M154=1,'Original Data'!M154="Yes",'Original Data'!M154=TRUE),"Yes")</f>
        <v>Yes</v>
      </c>
    </row>
    <row r="155" spans="1:13" x14ac:dyDescent="0.2">
      <c r="A155">
        <v>154</v>
      </c>
      <c r="B155" t="s">
        <v>74</v>
      </c>
      <c r="C155" s="5">
        <v>44932</v>
      </c>
      <c r="D155" t="s">
        <v>75</v>
      </c>
      <c r="E155" t="s">
        <v>76</v>
      </c>
      <c r="F155" t="s">
        <v>66</v>
      </c>
      <c r="G155" t="s">
        <v>67</v>
      </c>
      <c r="H155">
        <v>3</v>
      </c>
      <c r="I155" s="7">
        <v>0.15</v>
      </c>
      <c r="J155">
        <v>114.62</v>
      </c>
      <c r="K155" t="str">
        <f>PROPER('Original Data'!K155)</f>
        <v>Credit Card</v>
      </c>
      <c r="L155" t="s">
        <v>55</v>
      </c>
      <c r="M155" t="str" cm="1">
        <f t="array" ref="M155">_xlfn.IFS(OR('Original Data'!M155=0,'Original Data'!M155="No",'Original Data'!M155=FALSE),"No",OR('Original Data'!M155=1,'Original Data'!M155="Yes",'Original Data'!M155=TRUE),"Yes")</f>
        <v>No</v>
      </c>
    </row>
    <row r="156" spans="1:13" x14ac:dyDescent="0.2">
      <c r="A156">
        <v>155</v>
      </c>
      <c r="B156" t="s">
        <v>68</v>
      </c>
      <c r="C156" s="5">
        <v>44939</v>
      </c>
      <c r="D156" t="s">
        <v>69</v>
      </c>
      <c r="E156" t="s">
        <v>33</v>
      </c>
      <c r="F156" t="s">
        <v>16</v>
      </c>
      <c r="G156" t="s">
        <v>17</v>
      </c>
      <c r="H156">
        <v>5</v>
      </c>
      <c r="I156" s="7">
        <v>0</v>
      </c>
      <c r="J156">
        <v>595</v>
      </c>
      <c r="K156" t="str">
        <f>PROPER('Original Data'!K156)</f>
        <v>Gift Card</v>
      </c>
      <c r="L156" t="s">
        <v>49</v>
      </c>
      <c r="M156" t="str" cm="1">
        <f t="array" ref="M156">_xlfn.IFS(OR('Original Data'!M156=0,'Original Data'!M156="No",'Original Data'!M156=FALSE),"No",OR('Original Data'!M156=1,'Original Data'!M156="Yes",'Original Data'!M156=TRUE),"Yes")</f>
        <v>No</v>
      </c>
    </row>
    <row r="157" spans="1:13" x14ac:dyDescent="0.2">
      <c r="A157">
        <v>156</v>
      </c>
      <c r="B157" t="s">
        <v>61</v>
      </c>
      <c r="C157" s="5">
        <v>45076</v>
      </c>
      <c r="D157" t="s">
        <v>62</v>
      </c>
      <c r="E157" t="s">
        <v>33</v>
      </c>
      <c r="F157" t="s">
        <v>66</v>
      </c>
      <c r="G157" t="s">
        <v>67</v>
      </c>
      <c r="H157">
        <v>3</v>
      </c>
      <c r="I157" s="7">
        <v>0.1</v>
      </c>
      <c r="J157">
        <v>94.47</v>
      </c>
      <c r="K157" t="str">
        <f>PROPER('Original Data'!K157)</f>
        <v>Gift Card</v>
      </c>
      <c r="L157" t="s">
        <v>30</v>
      </c>
      <c r="M157" t="str" cm="1">
        <f t="array" ref="M157">_xlfn.IFS(OR('Original Data'!M157=0,'Original Data'!M157="No",'Original Data'!M157=FALSE),"No",OR('Original Data'!M157=1,'Original Data'!M157="Yes",'Original Data'!M157=TRUE),"Yes")</f>
        <v>No</v>
      </c>
    </row>
    <row r="158" spans="1:13" x14ac:dyDescent="0.2">
      <c r="A158">
        <v>157</v>
      </c>
      <c r="B158" t="s">
        <v>24</v>
      </c>
      <c r="C158" s="5">
        <v>45332</v>
      </c>
      <c r="D158" t="s">
        <v>87</v>
      </c>
      <c r="E158" t="s">
        <v>39</v>
      </c>
      <c r="F158" t="s">
        <v>34</v>
      </c>
      <c r="G158" t="s">
        <v>35</v>
      </c>
      <c r="H158">
        <v>1</v>
      </c>
      <c r="I158" s="7">
        <v>0</v>
      </c>
      <c r="J158">
        <v>44.95</v>
      </c>
      <c r="K158" t="str">
        <f>PROPER('Original Data'!K158)</f>
        <v>Credit Card</v>
      </c>
      <c r="L158" t="s">
        <v>30</v>
      </c>
      <c r="M158" t="str" cm="1">
        <f t="array" ref="M158">_xlfn.IFS(OR('Original Data'!M158=0,'Original Data'!M158="No",'Original Data'!M158=FALSE),"No",OR('Original Data'!M158=1,'Original Data'!M158="Yes",'Original Data'!M158=TRUE),"Yes")</f>
        <v>Yes</v>
      </c>
    </row>
    <row r="159" spans="1:13" x14ac:dyDescent="0.2">
      <c r="A159">
        <v>158</v>
      </c>
      <c r="B159" t="s">
        <v>88</v>
      </c>
      <c r="C159" s="5">
        <v>45108</v>
      </c>
      <c r="D159" t="s">
        <v>89</v>
      </c>
      <c r="E159" t="s">
        <v>33</v>
      </c>
      <c r="F159" t="s">
        <v>53</v>
      </c>
      <c r="G159" t="s">
        <v>54</v>
      </c>
      <c r="H159">
        <v>5</v>
      </c>
      <c r="I159" s="7">
        <v>0.05</v>
      </c>
      <c r="J159">
        <v>940.5</v>
      </c>
      <c r="K159" t="str">
        <f>PROPER('Original Data'!K159)</f>
        <v>Cash</v>
      </c>
      <c r="L159" t="s">
        <v>41</v>
      </c>
      <c r="M159" t="str" cm="1">
        <f t="array" ref="M159">_xlfn.IFS(OR('Original Data'!M159=0,'Original Data'!M159="No",'Original Data'!M159=FALSE),"No",OR('Original Data'!M159=1,'Original Data'!M159="Yes",'Original Data'!M159=TRUE),"Yes")</f>
        <v>No</v>
      </c>
    </row>
    <row r="160" spans="1:13" x14ac:dyDescent="0.2">
      <c r="A160">
        <v>159</v>
      </c>
      <c r="B160" t="s">
        <v>68</v>
      </c>
      <c r="C160" s="5">
        <v>45490</v>
      </c>
      <c r="D160" t="s">
        <v>69</v>
      </c>
      <c r="E160" t="s">
        <v>33</v>
      </c>
      <c r="F160" t="s">
        <v>21</v>
      </c>
      <c r="G160" t="s">
        <v>22</v>
      </c>
      <c r="H160">
        <v>1</v>
      </c>
      <c r="I160" s="7">
        <v>0.05</v>
      </c>
      <c r="J160">
        <v>113.05</v>
      </c>
      <c r="K160" t="str">
        <f>PROPER('Original Data'!K160)</f>
        <v>Apple Pay</v>
      </c>
      <c r="L160" t="s">
        <v>45</v>
      </c>
      <c r="M160" t="str" cm="1">
        <f t="array" ref="M160">_xlfn.IFS(OR('Original Data'!M160=0,'Original Data'!M160="No",'Original Data'!M160=FALSE),"No",OR('Original Data'!M160=1,'Original Data'!M160="Yes",'Original Data'!M160=TRUE),"Yes")</f>
        <v>No</v>
      </c>
    </row>
    <row r="161" spans="1:13" x14ac:dyDescent="0.2">
      <c r="A161">
        <v>160</v>
      </c>
      <c r="B161" t="s">
        <v>83</v>
      </c>
      <c r="C161" s="5">
        <v>45601</v>
      </c>
      <c r="D161" t="s">
        <v>84</v>
      </c>
      <c r="E161" t="s">
        <v>48</v>
      </c>
      <c r="F161" t="s">
        <v>21</v>
      </c>
      <c r="G161" t="s">
        <v>22</v>
      </c>
      <c r="H161">
        <v>2</v>
      </c>
      <c r="I161" s="7">
        <v>0.1</v>
      </c>
      <c r="J161">
        <v>89.91</v>
      </c>
      <c r="K161" t="str">
        <f>PROPER('Original Data'!K161)</f>
        <v>Cash</v>
      </c>
      <c r="L161" t="s">
        <v>63</v>
      </c>
      <c r="M161" t="str" cm="1">
        <f t="array" ref="M161">_xlfn.IFS(OR('Original Data'!M161=0,'Original Data'!M161="No",'Original Data'!M161=FALSE),"No",OR('Original Data'!M161=1,'Original Data'!M161="Yes",'Original Data'!M161=TRUE),"Yes")</f>
        <v>No</v>
      </c>
    </row>
    <row r="162" spans="1:13" x14ac:dyDescent="0.2">
      <c r="A162">
        <v>161</v>
      </c>
      <c r="B162" t="s">
        <v>56</v>
      </c>
      <c r="C162" s="5">
        <v>45181</v>
      </c>
      <c r="D162" t="s">
        <v>57</v>
      </c>
      <c r="E162" t="s">
        <v>48</v>
      </c>
      <c r="F162" t="s">
        <v>21</v>
      </c>
      <c r="G162" t="s">
        <v>22</v>
      </c>
      <c r="H162">
        <v>1</v>
      </c>
      <c r="I162" s="7">
        <v>0.15</v>
      </c>
      <c r="J162">
        <v>72.25</v>
      </c>
      <c r="K162" t="str">
        <f>PROPER('Original Data'!K162)</f>
        <v>Credit Card</v>
      </c>
      <c r="L162" t="s">
        <v>55</v>
      </c>
      <c r="M162" t="str" cm="1">
        <f t="array" ref="M162">_xlfn.IFS(OR('Original Data'!M162=0,'Original Data'!M162="No",'Original Data'!M162=FALSE),"No",OR('Original Data'!M162=1,'Original Data'!M162="Yes",'Original Data'!M162=TRUE),"Yes")</f>
        <v>Yes</v>
      </c>
    </row>
    <row r="163" spans="1:13" x14ac:dyDescent="0.2">
      <c r="A163">
        <v>162</v>
      </c>
      <c r="B163" t="s">
        <v>46</v>
      </c>
      <c r="C163" s="5">
        <v>45449</v>
      </c>
      <c r="D163" t="s">
        <v>47</v>
      </c>
      <c r="E163" t="s">
        <v>48</v>
      </c>
      <c r="F163" t="s">
        <v>21</v>
      </c>
      <c r="G163" t="s">
        <v>22</v>
      </c>
      <c r="H163">
        <v>1</v>
      </c>
      <c r="I163" s="7">
        <v>0</v>
      </c>
      <c r="J163">
        <v>49.95</v>
      </c>
      <c r="K163" t="str">
        <f>PROPER('Original Data'!K163)</f>
        <v>Debit Card</v>
      </c>
      <c r="L163" t="s">
        <v>30</v>
      </c>
      <c r="M163" t="str" cm="1">
        <f t="array" ref="M163">_xlfn.IFS(OR('Original Data'!M163=0,'Original Data'!M163="No",'Original Data'!M163=FALSE),"No",OR('Original Data'!M163=1,'Original Data'!M163="Yes",'Original Data'!M163=TRUE),"Yes")</f>
        <v>No</v>
      </c>
    </row>
    <row r="164" spans="1:13" x14ac:dyDescent="0.2">
      <c r="A164">
        <v>163</v>
      </c>
      <c r="B164" t="s">
        <v>13</v>
      </c>
      <c r="C164" s="5">
        <v>45014</v>
      </c>
      <c r="D164" t="s">
        <v>14</v>
      </c>
      <c r="E164" t="s">
        <v>15</v>
      </c>
      <c r="F164" t="s">
        <v>40</v>
      </c>
      <c r="G164" t="s">
        <v>17</v>
      </c>
      <c r="H164">
        <v>4</v>
      </c>
      <c r="I164" s="7">
        <v>0</v>
      </c>
      <c r="J164">
        <v>79.959999999999994</v>
      </c>
      <c r="K164" t="str">
        <f>PROPER('Original Data'!K164)</f>
        <v>Gift Card</v>
      </c>
      <c r="L164" t="s">
        <v>30</v>
      </c>
      <c r="M164" t="str" cm="1">
        <f t="array" ref="M164">_xlfn.IFS(OR('Original Data'!M164=0,'Original Data'!M164="No",'Original Data'!M164=FALSE),"No",OR('Original Data'!M164=1,'Original Data'!M164="Yes",'Original Data'!M164=TRUE),"Yes")</f>
        <v>No</v>
      </c>
    </row>
    <row r="165" spans="1:13" x14ac:dyDescent="0.2">
      <c r="A165">
        <v>164</v>
      </c>
      <c r="B165" t="s">
        <v>88</v>
      </c>
      <c r="C165" s="5">
        <v>45044</v>
      </c>
      <c r="D165" t="s">
        <v>89</v>
      </c>
      <c r="E165" t="s">
        <v>33</v>
      </c>
      <c r="F165" t="s">
        <v>44</v>
      </c>
      <c r="H165">
        <v>1</v>
      </c>
      <c r="I165" s="7">
        <v>0.1</v>
      </c>
      <c r="J165">
        <v>178.2</v>
      </c>
      <c r="K165" t="str">
        <f>PROPER('Original Data'!K165)</f>
        <v>Apple Pay</v>
      </c>
      <c r="L165" t="s">
        <v>23</v>
      </c>
      <c r="M165" t="str" cm="1">
        <f t="array" ref="M165">_xlfn.IFS(OR('Original Data'!M165=0,'Original Data'!M165="No",'Original Data'!M165=FALSE),"No",OR('Original Data'!M165=1,'Original Data'!M165="Yes",'Original Data'!M165=TRUE),"Yes")</f>
        <v>No</v>
      </c>
    </row>
    <row r="166" spans="1:13" x14ac:dyDescent="0.2">
      <c r="A166">
        <v>165</v>
      </c>
      <c r="B166" t="s">
        <v>24</v>
      </c>
      <c r="C166" s="5">
        <v>45582</v>
      </c>
      <c r="D166" t="s">
        <v>87</v>
      </c>
      <c r="E166" t="s">
        <v>39</v>
      </c>
      <c r="F166" t="s">
        <v>21</v>
      </c>
      <c r="G166" t="s">
        <v>22</v>
      </c>
      <c r="H166">
        <v>2</v>
      </c>
      <c r="I166" s="7">
        <v>0.2</v>
      </c>
      <c r="J166">
        <v>71.92</v>
      </c>
      <c r="K166" t="str">
        <f>PROPER('Original Data'!K166)</f>
        <v>Debit Card</v>
      </c>
      <c r="L166" t="s">
        <v>45</v>
      </c>
      <c r="M166" t="str" cm="1">
        <f t="array" ref="M166">_xlfn.IFS(OR('Original Data'!M166=0,'Original Data'!M166="No",'Original Data'!M166=FALSE),"No",OR('Original Data'!M166=1,'Original Data'!M166="Yes",'Original Data'!M166=TRUE),"Yes")</f>
        <v>Yes</v>
      </c>
    </row>
    <row r="167" spans="1:13" x14ac:dyDescent="0.2">
      <c r="A167">
        <v>166</v>
      </c>
      <c r="B167" t="s">
        <v>64</v>
      </c>
      <c r="C167" s="5">
        <v>45260</v>
      </c>
      <c r="D167" t="s">
        <v>65</v>
      </c>
      <c r="E167" t="s">
        <v>33</v>
      </c>
      <c r="F167" t="s">
        <v>34</v>
      </c>
      <c r="G167" t="s">
        <v>35</v>
      </c>
      <c r="H167">
        <v>1</v>
      </c>
      <c r="I167" s="7">
        <v>0</v>
      </c>
      <c r="J167">
        <v>74.95</v>
      </c>
      <c r="K167" t="str">
        <f>PROPER('Original Data'!K167)</f>
        <v>Cash</v>
      </c>
      <c r="L167" t="s">
        <v>45</v>
      </c>
      <c r="M167" t="str" cm="1">
        <f t="array" ref="M167">_xlfn.IFS(OR('Original Data'!M167=0,'Original Data'!M167="No",'Original Data'!M167=FALSE),"No",OR('Original Data'!M167=1,'Original Data'!M167="Yes",'Original Data'!M167=TRUE),"Yes")</f>
        <v>No</v>
      </c>
    </row>
    <row r="168" spans="1:13" x14ac:dyDescent="0.2">
      <c r="A168">
        <v>167</v>
      </c>
      <c r="B168" t="s">
        <v>68</v>
      </c>
      <c r="C168" s="5">
        <v>45531</v>
      </c>
      <c r="D168" t="s">
        <v>69</v>
      </c>
      <c r="E168" t="s">
        <v>33</v>
      </c>
      <c r="F168" t="s">
        <v>40</v>
      </c>
      <c r="G168" t="s">
        <v>17</v>
      </c>
      <c r="H168">
        <v>4</v>
      </c>
      <c r="I168" s="7">
        <v>0</v>
      </c>
      <c r="J168">
        <v>476</v>
      </c>
      <c r="K168" t="s">
        <v>90</v>
      </c>
      <c r="L168" t="s">
        <v>30</v>
      </c>
      <c r="M168" t="str" cm="1">
        <f t="array" ref="M168">_xlfn.IFS(OR('Original Data'!M168=0,'Original Data'!M168="No",'Original Data'!M168=FALSE),"No",OR('Original Data'!M168=1,'Original Data'!M168="Yes",'Original Data'!M168=TRUE),"Yes")</f>
        <v>No</v>
      </c>
    </row>
    <row r="169" spans="1:13" x14ac:dyDescent="0.2">
      <c r="A169">
        <v>168</v>
      </c>
      <c r="B169" t="s">
        <v>85</v>
      </c>
      <c r="C169" s="5">
        <v>45097</v>
      </c>
      <c r="D169" t="s">
        <v>86</v>
      </c>
      <c r="E169" t="s">
        <v>76</v>
      </c>
      <c r="F169" t="s">
        <v>21</v>
      </c>
      <c r="G169" t="s">
        <v>22</v>
      </c>
      <c r="H169">
        <v>2</v>
      </c>
      <c r="I169" s="7">
        <v>0.25</v>
      </c>
      <c r="J169">
        <v>134.93</v>
      </c>
      <c r="K169" t="s">
        <v>90</v>
      </c>
      <c r="L169" t="s">
        <v>45</v>
      </c>
      <c r="M169" t="str" cm="1">
        <f t="array" ref="M169">_xlfn.IFS(OR('Original Data'!M169=0,'Original Data'!M169="No",'Original Data'!M169=FALSE),"No",OR('Original Data'!M169=1,'Original Data'!M169="Yes",'Original Data'!M169=TRUE),"Yes")</f>
        <v>Yes</v>
      </c>
    </row>
    <row r="170" spans="1:13" x14ac:dyDescent="0.2">
      <c r="A170">
        <v>169</v>
      </c>
      <c r="B170" t="s">
        <v>56</v>
      </c>
      <c r="C170" s="5">
        <v>45430</v>
      </c>
      <c r="D170" t="s">
        <v>57</v>
      </c>
      <c r="E170" t="s">
        <v>48</v>
      </c>
      <c r="F170" t="s">
        <v>21</v>
      </c>
      <c r="G170" t="s">
        <v>22</v>
      </c>
      <c r="H170">
        <v>5</v>
      </c>
      <c r="I170" s="7">
        <v>0.25</v>
      </c>
      <c r="J170">
        <v>318.75</v>
      </c>
      <c r="K170" t="str">
        <f>PROPER('Original Data'!K170)</f>
        <v>Apple Pay</v>
      </c>
      <c r="M170" t="str" cm="1">
        <f t="array" ref="M170">_xlfn.IFS(OR('Original Data'!M170=0,'Original Data'!M170="No",'Original Data'!M170=FALSE),"No",OR('Original Data'!M170=1,'Original Data'!M170="Yes",'Original Data'!M170=TRUE),"Yes")</f>
        <v>Yes</v>
      </c>
    </row>
    <row r="171" spans="1:13" x14ac:dyDescent="0.2">
      <c r="A171">
        <v>170</v>
      </c>
      <c r="B171" t="s">
        <v>31</v>
      </c>
      <c r="C171" s="5">
        <v>45043</v>
      </c>
      <c r="D171" t="s">
        <v>32</v>
      </c>
      <c r="E171" t="s">
        <v>33</v>
      </c>
      <c r="F171" t="s">
        <v>53</v>
      </c>
      <c r="G171" t="s">
        <v>54</v>
      </c>
      <c r="H171">
        <v>4</v>
      </c>
      <c r="I171" s="7">
        <v>0.25</v>
      </c>
      <c r="J171">
        <v>239.85</v>
      </c>
      <c r="K171" t="s">
        <v>90</v>
      </c>
      <c r="L171" t="s">
        <v>55</v>
      </c>
      <c r="M171" t="str" cm="1">
        <f t="array" ref="M171">_xlfn.IFS(OR('Original Data'!M171=0,'Original Data'!M171="No",'Original Data'!M171=FALSE),"No",OR('Original Data'!M171=1,'Original Data'!M171="Yes",'Original Data'!M171=TRUE),"Yes")</f>
        <v>No</v>
      </c>
    </row>
    <row r="172" spans="1:13" x14ac:dyDescent="0.2">
      <c r="A172">
        <v>171</v>
      </c>
      <c r="B172" t="s">
        <v>19</v>
      </c>
      <c r="C172" s="5">
        <v>45283</v>
      </c>
      <c r="D172" t="s">
        <v>20</v>
      </c>
      <c r="E172" t="s">
        <v>15</v>
      </c>
      <c r="F172" t="s">
        <v>16</v>
      </c>
      <c r="G172" t="s">
        <v>17</v>
      </c>
      <c r="H172">
        <v>3</v>
      </c>
      <c r="I172" s="7">
        <v>0</v>
      </c>
      <c r="J172">
        <v>269.85000000000002</v>
      </c>
      <c r="K172" t="str">
        <f>PROPER('Original Data'!K172)</f>
        <v>Cash</v>
      </c>
      <c r="L172" t="s">
        <v>41</v>
      </c>
      <c r="M172" t="str" cm="1">
        <f t="array" ref="M172">_xlfn.IFS(OR('Original Data'!M172=0,'Original Data'!M172="No",'Original Data'!M172=FALSE),"No",OR('Original Data'!M172=1,'Original Data'!M172="Yes",'Original Data'!M172=TRUE),"Yes")</f>
        <v>Yes</v>
      </c>
    </row>
    <row r="173" spans="1:13" x14ac:dyDescent="0.2">
      <c r="A173">
        <v>172</v>
      </c>
      <c r="B173" t="s">
        <v>31</v>
      </c>
      <c r="C173" s="5">
        <v>44987</v>
      </c>
      <c r="D173" t="s">
        <v>32</v>
      </c>
      <c r="E173" t="s">
        <v>33</v>
      </c>
      <c r="F173" t="s">
        <v>21</v>
      </c>
      <c r="G173" t="s">
        <v>22</v>
      </c>
      <c r="H173">
        <v>5</v>
      </c>
      <c r="I173" s="7">
        <v>0</v>
      </c>
      <c r="J173">
        <v>399.75</v>
      </c>
      <c r="K173" t="str">
        <f>PROPER('Original Data'!K173)</f>
        <v>Debit Card</v>
      </c>
      <c r="L173" t="s">
        <v>63</v>
      </c>
      <c r="M173" t="str" cm="1">
        <f t="array" ref="M173">_xlfn.IFS(OR('Original Data'!M173=0,'Original Data'!M173="No",'Original Data'!M173=FALSE),"No",OR('Original Data'!M173=1,'Original Data'!M173="Yes",'Original Data'!M173=TRUE),"Yes")</f>
        <v>No</v>
      </c>
    </row>
    <row r="174" spans="1:13" x14ac:dyDescent="0.2">
      <c r="A174">
        <v>173</v>
      </c>
      <c r="B174" t="s">
        <v>61</v>
      </c>
      <c r="C174" s="5">
        <v>45056</v>
      </c>
      <c r="D174" t="s">
        <v>62</v>
      </c>
      <c r="E174" t="s">
        <v>33</v>
      </c>
      <c r="F174" t="s">
        <v>16</v>
      </c>
      <c r="G174" t="s">
        <v>17</v>
      </c>
      <c r="H174">
        <v>4</v>
      </c>
      <c r="I174" s="7">
        <v>0</v>
      </c>
      <c r="J174">
        <v>139.96</v>
      </c>
      <c r="K174" t="str">
        <f>PROPER('Original Data'!K174)</f>
        <v>Apple Pay</v>
      </c>
      <c r="L174" t="s">
        <v>30</v>
      </c>
      <c r="M174" t="str" cm="1">
        <f t="array" ref="M174">_xlfn.IFS(OR('Original Data'!M174=0,'Original Data'!M174="No",'Original Data'!M174=FALSE),"No",OR('Original Data'!M174=1,'Original Data'!M174="Yes",'Original Data'!M174=TRUE),"Yes")</f>
        <v>No</v>
      </c>
    </row>
    <row r="175" spans="1:13" x14ac:dyDescent="0.2">
      <c r="A175">
        <v>174</v>
      </c>
      <c r="B175" t="s">
        <v>85</v>
      </c>
      <c r="C175" s="5">
        <v>45022</v>
      </c>
      <c r="D175" t="s">
        <v>86</v>
      </c>
      <c r="E175" t="s">
        <v>76</v>
      </c>
      <c r="F175" t="s">
        <v>53</v>
      </c>
      <c r="G175" t="s">
        <v>54</v>
      </c>
      <c r="H175">
        <v>4</v>
      </c>
      <c r="I175" s="7">
        <v>0.25</v>
      </c>
      <c r="J175">
        <v>269.85000000000002</v>
      </c>
      <c r="K175" t="str">
        <f>PROPER('Original Data'!K175)</f>
        <v>Apple Pay</v>
      </c>
      <c r="M175" t="str" cm="1">
        <f t="array" ref="M175">_xlfn.IFS(OR('Original Data'!M175=0,'Original Data'!M175="No",'Original Data'!M175=FALSE),"No",OR('Original Data'!M175=1,'Original Data'!M175="Yes",'Original Data'!M175=TRUE),"Yes")</f>
        <v>Yes</v>
      </c>
    </row>
    <row r="176" spans="1:13" x14ac:dyDescent="0.2">
      <c r="A176">
        <v>175</v>
      </c>
      <c r="B176" t="s">
        <v>24</v>
      </c>
      <c r="C176" s="5">
        <v>45366</v>
      </c>
      <c r="D176" t="s">
        <v>87</v>
      </c>
      <c r="E176" t="s">
        <v>39</v>
      </c>
      <c r="F176" t="s">
        <v>16</v>
      </c>
      <c r="G176" t="s">
        <v>17</v>
      </c>
      <c r="H176">
        <v>3</v>
      </c>
      <c r="I176" s="7">
        <v>0</v>
      </c>
      <c r="J176">
        <v>134.85</v>
      </c>
      <c r="K176" t="str">
        <f>PROPER('Original Data'!K176)</f>
        <v>Debit Card</v>
      </c>
      <c r="L176" t="s">
        <v>28</v>
      </c>
      <c r="M176" t="str" cm="1">
        <f t="array" ref="M176">_xlfn.IFS(OR('Original Data'!M176=0,'Original Data'!M176="No",'Original Data'!M176=FALSE),"No",OR('Original Data'!M176=1,'Original Data'!M176="Yes",'Original Data'!M176=TRUE),"Yes")</f>
        <v>Yes</v>
      </c>
    </row>
    <row r="177" spans="1:13" x14ac:dyDescent="0.2">
      <c r="A177">
        <v>176</v>
      </c>
      <c r="B177" t="s">
        <v>58</v>
      </c>
      <c r="C177" s="5">
        <v>45088</v>
      </c>
      <c r="D177" t="s">
        <v>59</v>
      </c>
      <c r="E177" t="s">
        <v>15</v>
      </c>
      <c r="F177" t="s">
        <v>26</v>
      </c>
      <c r="G177" t="s">
        <v>22</v>
      </c>
      <c r="H177">
        <v>1</v>
      </c>
      <c r="I177" s="7">
        <v>0.25</v>
      </c>
      <c r="J177">
        <v>44.96</v>
      </c>
      <c r="K177" t="str">
        <f>PROPER('Original Data'!K177)</f>
        <v>Credit Card</v>
      </c>
      <c r="L177" t="s">
        <v>23</v>
      </c>
      <c r="M177" t="str" cm="1">
        <f t="array" ref="M177">_xlfn.IFS(OR('Original Data'!M177=0,'Original Data'!M177="No",'Original Data'!M177=FALSE),"No",OR('Original Data'!M177=1,'Original Data'!M177="Yes",'Original Data'!M177=TRUE),"Yes")</f>
        <v>Yes</v>
      </c>
    </row>
    <row r="178" spans="1:13" x14ac:dyDescent="0.2">
      <c r="A178">
        <v>177</v>
      </c>
      <c r="B178" t="s">
        <v>42</v>
      </c>
      <c r="C178" s="5">
        <v>45607</v>
      </c>
      <c r="D178" t="s">
        <v>91</v>
      </c>
      <c r="E178" t="s">
        <v>15</v>
      </c>
      <c r="F178" t="s">
        <v>53</v>
      </c>
      <c r="G178" t="s">
        <v>54</v>
      </c>
      <c r="H178">
        <v>3</v>
      </c>
      <c r="I178" s="7">
        <v>0.1</v>
      </c>
      <c r="J178">
        <v>348.3</v>
      </c>
      <c r="K178" t="str">
        <f>PROPER('Original Data'!K178)</f>
        <v>Cash</v>
      </c>
      <c r="L178" t="s">
        <v>55</v>
      </c>
      <c r="M178" t="str" cm="1">
        <f t="array" ref="M178">_xlfn.IFS(OR('Original Data'!M178=0,'Original Data'!M178="No",'Original Data'!M178=FALSE),"No",OR('Original Data'!M178=1,'Original Data'!M178="Yes",'Original Data'!M178=TRUE),"Yes")</f>
        <v>Yes</v>
      </c>
    </row>
    <row r="179" spans="1:13" x14ac:dyDescent="0.2">
      <c r="A179">
        <v>178</v>
      </c>
      <c r="B179" t="s">
        <v>81</v>
      </c>
      <c r="C179" s="5">
        <v>45639</v>
      </c>
      <c r="D179" t="s">
        <v>82</v>
      </c>
      <c r="E179" t="s">
        <v>15</v>
      </c>
      <c r="F179" t="s">
        <v>66</v>
      </c>
      <c r="G179" t="s">
        <v>67</v>
      </c>
      <c r="H179">
        <v>2</v>
      </c>
      <c r="I179" s="7">
        <v>0.25</v>
      </c>
      <c r="J179">
        <v>119.93</v>
      </c>
      <c r="K179" t="str">
        <f>PROPER('Original Data'!K179)</f>
        <v>Credit Card</v>
      </c>
      <c r="L179" t="s">
        <v>23</v>
      </c>
      <c r="M179" t="str" cm="1">
        <f t="array" ref="M179">_xlfn.IFS(OR('Original Data'!M179=0,'Original Data'!M179="No",'Original Data'!M179=FALSE),"No",OR('Original Data'!M179=1,'Original Data'!M179="Yes",'Original Data'!M179=TRUE),"Yes")</f>
        <v>Yes</v>
      </c>
    </row>
    <row r="180" spans="1:13" x14ac:dyDescent="0.2">
      <c r="A180">
        <v>179</v>
      </c>
      <c r="B180" t="s">
        <v>68</v>
      </c>
      <c r="C180" s="5">
        <v>45583</v>
      </c>
      <c r="D180" t="s">
        <v>69</v>
      </c>
      <c r="E180" t="s">
        <v>33</v>
      </c>
      <c r="F180" t="s">
        <v>40</v>
      </c>
      <c r="G180" t="s">
        <v>17</v>
      </c>
      <c r="H180">
        <v>3</v>
      </c>
      <c r="I180" s="7">
        <v>0</v>
      </c>
      <c r="J180">
        <v>357</v>
      </c>
      <c r="K180" t="str">
        <f>PROPER('Original Data'!K180)</f>
        <v>Debit Card</v>
      </c>
      <c r="L180" t="s">
        <v>28</v>
      </c>
      <c r="M180" t="str" cm="1">
        <f t="array" ref="M180">_xlfn.IFS(OR('Original Data'!M180=0,'Original Data'!M180="No",'Original Data'!M180=FALSE),"No",OR('Original Data'!M180=1,'Original Data'!M180="Yes",'Original Data'!M180=TRUE),"Yes")</f>
        <v>No</v>
      </c>
    </row>
    <row r="181" spans="1:13" x14ac:dyDescent="0.2">
      <c r="A181">
        <v>180</v>
      </c>
      <c r="B181" t="s">
        <v>71</v>
      </c>
      <c r="C181" s="5">
        <v>45070</v>
      </c>
      <c r="D181" t="s">
        <v>72</v>
      </c>
      <c r="E181" t="s">
        <v>33</v>
      </c>
      <c r="F181" t="s">
        <v>21</v>
      </c>
      <c r="G181" t="s">
        <v>22</v>
      </c>
      <c r="H181">
        <v>4</v>
      </c>
      <c r="I181" s="7">
        <v>0.05</v>
      </c>
      <c r="J181">
        <v>227.81</v>
      </c>
      <c r="K181" t="str">
        <f>PROPER('Original Data'!K181)</f>
        <v>Credit Card</v>
      </c>
      <c r="L181" t="s">
        <v>55</v>
      </c>
      <c r="M181" t="str" cm="1">
        <f t="array" ref="M181">_xlfn.IFS(OR('Original Data'!M181=0,'Original Data'!M181="No",'Original Data'!M181=FALSE),"No",OR('Original Data'!M181=1,'Original Data'!M181="Yes",'Original Data'!M181=TRUE),"Yes")</f>
        <v>Yes</v>
      </c>
    </row>
    <row r="182" spans="1:13" x14ac:dyDescent="0.2">
      <c r="A182">
        <v>181</v>
      </c>
      <c r="B182" t="s">
        <v>13</v>
      </c>
      <c r="C182" s="5">
        <v>45328</v>
      </c>
      <c r="D182" t="s">
        <v>14</v>
      </c>
      <c r="E182" t="s">
        <v>15</v>
      </c>
      <c r="F182" t="s">
        <v>53</v>
      </c>
      <c r="G182" t="s">
        <v>54</v>
      </c>
      <c r="H182">
        <v>3</v>
      </c>
      <c r="I182" s="7">
        <v>0.05</v>
      </c>
      <c r="J182">
        <v>56.97</v>
      </c>
      <c r="K182" t="str">
        <f>PROPER('Original Data'!K182)</f>
        <v>Apple Pay</v>
      </c>
      <c r="L182" t="s">
        <v>63</v>
      </c>
      <c r="M182" t="str" cm="1">
        <f t="array" ref="M182">_xlfn.IFS(OR('Original Data'!M182=0,'Original Data'!M182="No",'Original Data'!M182=FALSE),"No",OR('Original Data'!M182=1,'Original Data'!M182="Yes",'Original Data'!M182=TRUE),"Yes")</f>
        <v>No</v>
      </c>
    </row>
    <row r="183" spans="1:13" x14ac:dyDescent="0.2">
      <c r="A183">
        <v>182</v>
      </c>
      <c r="B183" t="s">
        <v>68</v>
      </c>
      <c r="C183" s="5">
        <v>45357</v>
      </c>
      <c r="D183" t="s">
        <v>69</v>
      </c>
      <c r="E183" t="s">
        <v>33</v>
      </c>
      <c r="F183" t="s">
        <v>26</v>
      </c>
      <c r="G183" t="s">
        <v>22</v>
      </c>
      <c r="H183">
        <v>3</v>
      </c>
      <c r="I183" s="7">
        <v>0</v>
      </c>
      <c r="J183">
        <v>357</v>
      </c>
      <c r="K183" t="s">
        <v>90</v>
      </c>
      <c r="M183" t="str" cm="1">
        <f t="array" ref="M183">_xlfn.IFS(OR('Original Data'!M183=0,'Original Data'!M183="No",'Original Data'!M183=FALSE),"No",OR('Original Data'!M183=1,'Original Data'!M183="Yes",'Original Data'!M183=TRUE),"Yes")</f>
        <v>No</v>
      </c>
    </row>
    <row r="184" spans="1:13" x14ac:dyDescent="0.2">
      <c r="A184">
        <v>183</v>
      </c>
      <c r="B184" t="s">
        <v>74</v>
      </c>
      <c r="C184" s="5">
        <v>45645</v>
      </c>
      <c r="D184" t="s">
        <v>75</v>
      </c>
      <c r="E184" t="s">
        <v>76</v>
      </c>
      <c r="F184" t="s">
        <v>26</v>
      </c>
      <c r="G184" t="s">
        <v>22</v>
      </c>
      <c r="H184">
        <v>5</v>
      </c>
      <c r="I184" s="7">
        <v>0.1</v>
      </c>
      <c r="J184">
        <v>202.28</v>
      </c>
      <c r="K184" t="str">
        <f>PROPER('Original Data'!K184)</f>
        <v>Gift Card</v>
      </c>
      <c r="L184" t="s">
        <v>28</v>
      </c>
      <c r="M184" t="str" cm="1">
        <f t="array" ref="M184">_xlfn.IFS(OR('Original Data'!M184=0,'Original Data'!M184="No",'Original Data'!M184=FALSE),"No",OR('Original Data'!M184=1,'Original Data'!M184="Yes",'Original Data'!M184=TRUE),"Yes")</f>
        <v>No</v>
      </c>
    </row>
    <row r="185" spans="1:13" x14ac:dyDescent="0.2">
      <c r="A185">
        <v>184</v>
      </c>
      <c r="B185" t="s">
        <v>74</v>
      </c>
      <c r="C185" s="5">
        <v>45374</v>
      </c>
      <c r="D185" t="s">
        <v>75</v>
      </c>
      <c r="E185" t="s">
        <v>76</v>
      </c>
      <c r="F185" t="s">
        <v>40</v>
      </c>
      <c r="G185" t="s">
        <v>17</v>
      </c>
      <c r="H185">
        <v>5</v>
      </c>
      <c r="I185" s="7">
        <v>0</v>
      </c>
      <c r="J185">
        <v>224.75</v>
      </c>
      <c r="K185" t="str">
        <f>PROPER('Original Data'!K185)</f>
        <v>Apple Pay</v>
      </c>
      <c r="M185" t="str" cm="1">
        <f t="array" ref="M185">_xlfn.IFS(OR('Original Data'!M185=0,'Original Data'!M185="No",'Original Data'!M185=FALSE),"No",OR('Original Data'!M185=1,'Original Data'!M185="Yes",'Original Data'!M185=TRUE),"Yes")</f>
        <v>No</v>
      </c>
    </row>
    <row r="186" spans="1:13" x14ac:dyDescent="0.2">
      <c r="A186">
        <v>185</v>
      </c>
      <c r="B186" t="s">
        <v>46</v>
      </c>
      <c r="C186" s="5">
        <v>45435</v>
      </c>
      <c r="D186" t="s">
        <v>47</v>
      </c>
      <c r="E186" t="s">
        <v>48</v>
      </c>
      <c r="F186" t="s">
        <v>66</v>
      </c>
      <c r="G186" t="s">
        <v>67</v>
      </c>
      <c r="H186">
        <v>1</v>
      </c>
      <c r="I186" s="7">
        <v>0</v>
      </c>
      <c r="J186">
        <v>49.95</v>
      </c>
      <c r="K186" t="str">
        <f>PROPER('Original Data'!K186)</f>
        <v>Debit Card</v>
      </c>
      <c r="L186" t="s">
        <v>23</v>
      </c>
      <c r="M186" t="str" cm="1">
        <f t="array" ref="M186">_xlfn.IFS(OR('Original Data'!M186=0,'Original Data'!M186="No",'Original Data'!M186=FALSE),"No",OR('Original Data'!M186=1,'Original Data'!M186="Yes",'Original Data'!M186=TRUE),"Yes")</f>
        <v>No</v>
      </c>
    </row>
    <row r="187" spans="1:13" x14ac:dyDescent="0.2">
      <c r="A187">
        <v>186</v>
      </c>
      <c r="B187" t="s">
        <v>88</v>
      </c>
      <c r="C187" s="5">
        <v>45656</v>
      </c>
      <c r="D187" t="s">
        <v>89</v>
      </c>
      <c r="E187" t="s">
        <v>33</v>
      </c>
      <c r="F187" t="s">
        <v>26</v>
      </c>
      <c r="G187" t="s">
        <v>22</v>
      </c>
      <c r="H187">
        <v>4</v>
      </c>
      <c r="J187">
        <v>792</v>
      </c>
      <c r="K187" t="str">
        <f>PROPER('Original Data'!K187)</f>
        <v>Cash</v>
      </c>
      <c r="L187" t="s">
        <v>55</v>
      </c>
      <c r="M187" t="str" cm="1">
        <f t="array" ref="M187">_xlfn.IFS(OR('Original Data'!M187=0,'Original Data'!M187="No",'Original Data'!M187=FALSE),"No",OR('Original Data'!M187=1,'Original Data'!M187="Yes",'Original Data'!M187=TRUE),"Yes")</f>
        <v>No</v>
      </c>
    </row>
    <row r="188" spans="1:13" x14ac:dyDescent="0.2">
      <c r="A188">
        <v>187</v>
      </c>
      <c r="B188" t="s">
        <v>19</v>
      </c>
      <c r="C188" s="5">
        <v>45177</v>
      </c>
      <c r="D188" t="s">
        <v>20</v>
      </c>
      <c r="E188" t="s">
        <v>15</v>
      </c>
      <c r="F188" t="s">
        <v>16</v>
      </c>
      <c r="G188" t="s">
        <v>17</v>
      </c>
      <c r="H188">
        <v>5</v>
      </c>
      <c r="I188" s="7">
        <v>0</v>
      </c>
      <c r="J188">
        <v>449.75</v>
      </c>
      <c r="K188" t="str">
        <f>PROPER('Original Data'!K188)</f>
        <v>Credit Card</v>
      </c>
      <c r="L188" t="s">
        <v>23</v>
      </c>
      <c r="M188" t="str" cm="1">
        <f t="array" ref="M188">_xlfn.IFS(OR('Original Data'!M188=0,'Original Data'!M188="No",'Original Data'!M188=FALSE),"No",OR('Original Data'!M188=1,'Original Data'!M188="Yes",'Original Data'!M188=TRUE),"Yes")</f>
        <v>Yes</v>
      </c>
    </row>
    <row r="189" spans="1:13" x14ac:dyDescent="0.2">
      <c r="A189">
        <v>188</v>
      </c>
      <c r="B189" t="s">
        <v>19</v>
      </c>
      <c r="C189" s="5">
        <v>45254</v>
      </c>
      <c r="D189" t="s">
        <v>20</v>
      </c>
      <c r="E189" t="s">
        <v>15</v>
      </c>
      <c r="F189" t="s">
        <v>21</v>
      </c>
      <c r="G189" t="s">
        <v>22</v>
      </c>
      <c r="H189">
        <v>3</v>
      </c>
      <c r="I189" s="7">
        <v>0.05</v>
      </c>
      <c r="J189">
        <v>256.36</v>
      </c>
      <c r="K189" t="str">
        <f>PROPER('Original Data'!K189)</f>
        <v>Apple Pay</v>
      </c>
      <c r="L189" t="s">
        <v>28</v>
      </c>
      <c r="M189" t="str" cm="1">
        <f t="array" ref="M189">_xlfn.IFS(OR('Original Data'!M189=0,'Original Data'!M189="No",'Original Data'!M189=FALSE),"No",OR('Original Data'!M189=1,'Original Data'!M189="Yes",'Original Data'!M189=TRUE),"Yes")</f>
        <v>Yes</v>
      </c>
    </row>
    <row r="190" spans="1:13" x14ac:dyDescent="0.2">
      <c r="A190">
        <v>189</v>
      </c>
      <c r="B190" t="s">
        <v>42</v>
      </c>
      <c r="C190" s="5">
        <v>45015</v>
      </c>
      <c r="D190" t="s">
        <v>91</v>
      </c>
      <c r="E190" t="s">
        <v>15</v>
      </c>
      <c r="F190" t="s">
        <v>21</v>
      </c>
      <c r="G190" t="s">
        <v>22</v>
      </c>
      <c r="H190">
        <v>4</v>
      </c>
      <c r="I190" s="7">
        <v>0.1</v>
      </c>
      <c r="J190">
        <v>464.4</v>
      </c>
      <c r="K190" t="str">
        <f>PROPER('Original Data'!K190)</f>
        <v>Cash</v>
      </c>
      <c r="L190" t="s">
        <v>30</v>
      </c>
      <c r="M190" t="str" cm="1">
        <f t="array" ref="M190">_xlfn.IFS(OR('Original Data'!M190=0,'Original Data'!M190="No",'Original Data'!M190=FALSE),"No",OR('Original Data'!M190=1,'Original Data'!M190="Yes",'Original Data'!M190=TRUE),"Yes")</f>
        <v>Yes</v>
      </c>
    </row>
    <row r="191" spans="1:13" x14ac:dyDescent="0.2">
      <c r="A191">
        <v>190</v>
      </c>
      <c r="B191" t="s">
        <v>56</v>
      </c>
      <c r="C191" s="5">
        <v>44951</v>
      </c>
      <c r="D191" t="s">
        <v>57</v>
      </c>
      <c r="E191" t="s">
        <v>48</v>
      </c>
      <c r="F191" t="s">
        <v>34</v>
      </c>
      <c r="G191" t="s">
        <v>35</v>
      </c>
      <c r="H191">
        <v>2</v>
      </c>
      <c r="I191" s="7">
        <v>0</v>
      </c>
      <c r="J191">
        <v>170</v>
      </c>
      <c r="K191" t="str">
        <f>PROPER('Original Data'!K191)</f>
        <v>Gift Card</v>
      </c>
      <c r="L191" t="s">
        <v>23</v>
      </c>
      <c r="M191" t="str" cm="1">
        <f t="array" ref="M191">_xlfn.IFS(OR('Original Data'!M191=0,'Original Data'!M191="No",'Original Data'!M191=FALSE),"No",OR('Original Data'!M191=1,'Original Data'!M191="Yes",'Original Data'!M191=TRUE),"Yes")</f>
        <v>Yes</v>
      </c>
    </row>
    <row r="192" spans="1:13" x14ac:dyDescent="0.2">
      <c r="A192">
        <v>191</v>
      </c>
      <c r="B192" t="s">
        <v>37</v>
      </c>
      <c r="C192" s="5">
        <v>44988</v>
      </c>
      <c r="D192" t="s">
        <v>38</v>
      </c>
      <c r="E192" t="s">
        <v>39</v>
      </c>
      <c r="F192" t="s">
        <v>16</v>
      </c>
      <c r="G192" t="s">
        <v>17</v>
      </c>
      <c r="H192">
        <v>5</v>
      </c>
      <c r="I192" s="7">
        <v>0.05</v>
      </c>
      <c r="J192">
        <v>308.51</v>
      </c>
      <c r="K192" t="str">
        <f>PROPER('Original Data'!K192)</f>
        <v>Gift Card</v>
      </c>
      <c r="L192" t="s">
        <v>28</v>
      </c>
      <c r="M192" t="str" cm="1">
        <f t="array" ref="M192">_xlfn.IFS(OR('Original Data'!M192=0,'Original Data'!M192="No",'Original Data'!M192=FALSE),"No",OR('Original Data'!M192=1,'Original Data'!M192="Yes",'Original Data'!M192=TRUE),"Yes")</f>
        <v>Yes</v>
      </c>
    </row>
    <row r="193" spans="1:13" x14ac:dyDescent="0.2">
      <c r="A193">
        <v>192</v>
      </c>
      <c r="B193" t="s">
        <v>81</v>
      </c>
      <c r="C193" s="5">
        <v>45533</v>
      </c>
      <c r="D193" t="s">
        <v>82</v>
      </c>
      <c r="E193" t="s">
        <v>15</v>
      </c>
      <c r="F193" t="s">
        <v>16</v>
      </c>
      <c r="G193" t="s">
        <v>17</v>
      </c>
      <c r="H193">
        <v>1</v>
      </c>
      <c r="I193" s="7">
        <v>0</v>
      </c>
      <c r="J193">
        <v>79.95</v>
      </c>
      <c r="K193" t="str">
        <f>PROPER('Original Data'!K193)</f>
        <v>Credit Card</v>
      </c>
      <c r="L193" t="s">
        <v>28</v>
      </c>
      <c r="M193" t="str" cm="1">
        <f t="array" ref="M193">_xlfn.IFS(OR('Original Data'!M193=0,'Original Data'!M193="No",'Original Data'!M193=FALSE),"No",OR('Original Data'!M193=1,'Original Data'!M193="Yes",'Original Data'!M193=TRUE),"Yes")</f>
        <v>Yes</v>
      </c>
    </row>
    <row r="194" spans="1:13" x14ac:dyDescent="0.2">
      <c r="A194">
        <v>193</v>
      </c>
      <c r="B194" t="s">
        <v>88</v>
      </c>
      <c r="C194" s="5">
        <v>45134</v>
      </c>
      <c r="D194" t="s">
        <v>89</v>
      </c>
      <c r="E194" t="s">
        <v>33</v>
      </c>
      <c r="F194" t="s">
        <v>40</v>
      </c>
      <c r="G194" t="s">
        <v>17</v>
      </c>
      <c r="H194">
        <v>4</v>
      </c>
      <c r="I194" s="7">
        <v>0.1</v>
      </c>
      <c r="J194">
        <v>712.8</v>
      </c>
      <c r="K194" t="str">
        <f>PROPER('Original Data'!K194)</f>
        <v>Credit Card</v>
      </c>
      <c r="L194" t="s">
        <v>63</v>
      </c>
      <c r="M194" t="str" cm="1">
        <f t="array" ref="M194">_xlfn.IFS(OR('Original Data'!M194=0,'Original Data'!M194="No",'Original Data'!M194=FALSE),"No",OR('Original Data'!M194=1,'Original Data'!M194="Yes",'Original Data'!M194=TRUE),"Yes")</f>
        <v>No</v>
      </c>
    </row>
    <row r="195" spans="1:13" x14ac:dyDescent="0.2">
      <c r="A195">
        <v>194</v>
      </c>
      <c r="B195" t="s">
        <v>24</v>
      </c>
      <c r="C195" s="5">
        <v>45019</v>
      </c>
      <c r="D195" t="s">
        <v>87</v>
      </c>
      <c r="E195" t="s">
        <v>39</v>
      </c>
      <c r="F195" t="s">
        <v>34</v>
      </c>
      <c r="G195" t="s">
        <v>35</v>
      </c>
      <c r="H195">
        <v>3</v>
      </c>
      <c r="I195" s="7">
        <v>0.25</v>
      </c>
      <c r="J195">
        <v>101.14</v>
      </c>
      <c r="K195" t="str">
        <f>PROPER('Original Data'!K195)</f>
        <v>Credit Card</v>
      </c>
      <c r="L195" t="s">
        <v>30</v>
      </c>
      <c r="M195" t="str" cm="1">
        <f t="array" ref="M195">_xlfn.IFS(OR('Original Data'!M195=0,'Original Data'!M195="No",'Original Data'!M195=FALSE),"No",OR('Original Data'!M195=1,'Original Data'!M195="Yes",'Original Data'!M195=TRUE),"Yes")</f>
        <v>Yes</v>
      </c>
    </row>
    <row r="196" spans="1:13" x14ac:dyDescent="0.2">
      <c r="A196">
        <v>195</v>
      </c>
      <c r="B196" t="s">
        <v>74</v>
      </c>
      <c r="C196" s="5">
        <v>45105</v>
      </c>
      <c r="D196" t="s">
        <v>75</v>
      </c>
      <c r="E196" t="s">
        <v>76</v>
      </c>
      <c r="F196" t="s">
        <v>40</v>
      </c>
      <c r="G196" t="s">
        <v>17</v>
      </c>
      <c r="H196">
        <v>5</v>
      </c>
      <c r="I196" s="7">
        <v>0</v>
      </c>
      <c r="J196">
        <v>224.75</v>
      </c>
      <c r="K196" t="str">
        <f>PROPER('Original Data'!K196)</f>
        <v>Cash</v>
      </c>
      <c r="L196" t="s">
        <v>30</v>
      </c>
      <c r="M196" t="str" cm="1">
        <f t="array" ref="M196">_xlfn.IFS(OR('Original Data'!M196=0,'Original Data'!M196="No",'Original Data'!M196=FALSE),"No",OR('Original Data'!M196=1,'Original Data'!M196="Yes",'Original Data'!M196=TRUE),"Yes")</f>
        <v>No</v>
      </c>
    </row>
    <row r="197" spans="1:13" x14ac:dyDescent="0.2">
      <c r="A197">
        <v>196</v>
      </c>
      <c r="B197" t="s">
        <v>19</v>
      </c>
      <c r="C197" s="5">
        <v>45629</v>
      </c>
      <c r="D197" t="str">
        <f>VLOOKUP(B197,'Original Data'!B:D,3,FALSE)</f>
        <v>Denim Jacket</v>
      </c>
      <c r="E197" t="str">
        <f>_xlfn.XLOOKUP('Cleaned Data'!B419,'Original Data'!B:B,'Original Data'!E:E)</f>
        <v>Old Navy</v>
      </c>
      <c r="F197" t="s">
        <v>26</v>
      </c>
      <c r="G197" t="s">
        <v>22</v>
      </c>
      <c r="H197">
        <v>2</v>
      </c>
      <c r="I197" s="7">
        <v>0.05</v>
      </c>
      <c r="J197">
        <v>170.9</v>
      </c>
      <c r="K197" t="str">
        <f>PROPER('Original Data'!K197)</f>
        <v>Cash</v>
      </c>
      <c r="L197" t="s">
        <v>28</v>
      </c>
      <c r="M197" t="s">
        <v>92</v>
      </c>
    </row>
    <row r="198" spans="1:13" x14ac:dyDescent="0.2">
      <c r="A198">
        <v>197</v>
      </c>
      <c r="B198" t="s">
        <v>61</v>
      </c>
      <c r="C198" s="5">
        <v>45399</v>
      </c>
      <c r="D198" t="s">
        <v>62</v>
      </c>
      <c r="E198" t="s">
        <v>33</v>
      </c>
      <c r="F198" t="s">
        <v>44</v>
      </c>
      <c r="H198">
        <v>1</v>
      </c>
      <c r="I198" s="7">
        <v>0.15</v>
      </c>
      <c r="J198">
        <v>29.74</v>
      </c>
      <c r="K198" t="str">
        <f>PROPER('Original Data'!K198)</f>
        <v>Credit Card</v>
      </c>
      <c r="L198" t="s">
        <v>55</v>
      </c>
      <c r="M198" t="str" cm="1">
        <f t="array" ref="M198">_xlfn.IFS(OR('Original Data'!M198=0,'Original Data'!M198="No",'Original Data'!M198=FALSE),"No",OR('Original Data'!M198=1,'Original Data'!M198="Yes",'Original Data'!M198=TRUE),"Yes")</f>
        <v>No</v>
      </c>
    </row>
    <row r="199" spans="1:13" x14ac:dyDescent="0.2">
      <c r="A199">
        <v>198</v>
      </c>
      <c r="B199" t="s">
        <v>64</v>
      </c>
      <c r="C199" s="5">
        <v>45555</v>
      </c>
      <c r="D199" t="s">
        <v>65</v>
      </c>
      <c r="E199" t="s">
        <v>33</v>
      </c>
      <c r="F199" t="s">
        <v>66</v>
      </c>
      <c r="G199" t="s">
        <v>67</v>
      </c>
      <c r="H199">
        <v>3</v>
      </c>
      <c r="I199" s="7">
        <v>0.25</v>
      </c>
      <c r="J199">
        <v>168.64</v>
      </c>
      <c r="K199" t="str">
        <f>PROPER('Original Data'!K199)</f>
        <v>Credit Card</v>
      </c>
      <c r="L199" t="s">
        <v>45</v>
      </c>
      <c r="M199" t="str" cm="1">
        <f t="array" ref="M199">_xlfn.IFS(OR('Original Data'!M199=0,'Original Data'!M199="No",'Original Data'!M199=FALSE),"No",OR('Original Data'!M199=1,'Original Data'!M199="Yes",'Original Data'!M199=TRUE),"Yes")</f>
        <v>No</v>
      </c>
    </row>
    <row r="200" spans="1:13" x14ac:dyDescent="0.2">
      <c r="A200">
        <v>199</v>
      </c>
      <c r="B200" t="s">
        <v>56</v>
      </c>
      <c r="C200" s="5">
        <v>45484</v>
      </c>
      <c r="D200" t="s">
        <v>57</v>
      </c>
      <c r="E200" t="s">
        <v>48</v>
      </c>
      <c r="F200" t="s">
        <v>34</v>
      </c>
      <c r="G200" t="s">
        <v>35</v>
      </c>
      <c r="H200">
        <v>1</v>
      </c>
      <c r="I200" s="7">
        <v>0.2</v>
      </c>
      <c r="J200">
        <v>68</v>
      </c>
      <c r="K200" t="str">
        <f>PROPER('Original Data'!K200)</f>
        <v>Gift Card</v>
      </c>
      <c r="M200" t="str" cm="1">
        <f t="array" ref="M200">_xlfn.IFS(OR('Original Data'!M200=0,'Original Data'!M200="No",'Original Data'!M200=FALSE),"No",OR('Original Data'!M200=1,'Original Data'!M200="Yes",'Original Data'!M200=TRUE),"Yes")</f>
        <v>Yes</v>
      </c>
    </row>
    <row r="201" spans="1:13" x14ac:dyDescent="0.2">
      <c r="A201">
        <v>200</v>
      </c>
      <c r="B201" t="s">
        <v>58</v>
      </c>
      <c r="C201" s="5">
        <v>45029</v>
      </c>
      <c r="D201" t="s">
        <v>59</v>
      </c>
      <c r="E201" t="s">
        <v>15</v>
      </c>
      <c r="F201" t="s">
        <v>53</v>
      </c>
      <c r="G201" t="s">
        <v>54</v>
      </c>
      <c r="H201">
        <v>4</v>
      </c>
      <c r="I201" s="7">
        <v>0.15</v>
      </c>
      <c r="J201">
        <v>203.83</v>
      </c>
      <c r="K201" t="str">
        <f>PROPER('Original Data'!K201)</f>
        <v>Debit Card</v>
      </c>
      <c r="L201" t="s">
        <v>63</v>
      </c>
      <c r="M201" t="str" cm="1">
        <f t="array" ref="M201">_xlfn.IFS(OR('Original Data'!M201=0,'Original Data'!M201="No",'Original Data'!M201=FALSE),"No",OR('Original Data'!M201=1,'Original Data'!M201="Yes",'Original Data'!M201=TRUE),"Yes")</f>
        <v>Yes</v>
      </c>
    </row>
    <row r="202" spans="1:13" x14ac:dyDescent="0.2">
      <c r="A202">
        <v>201</v>
      </c>
      <c r="B202" t="s">
        <v>68</v>
      </c>
      <c r="C202" s="5">
        <v>45252</v>
      </c>
      <c r="D202" t="s">
        <v>69</v>
      </c>
      <c r="E202" t="s">
        <v>33</v>
      </c>
      <c r="F202" t="s">
        <v>21</v>
      </c>
      <c r="G202" t="s">
        <v>22</v>
      </c>
      <c r="H202">
        <v>2</v>
      </c>
      <c r="I202" s="7">
        <v>0</v>
      </c>
      <c r="J202">
        <v>238</v>
      </c>
      <c r="K202" t="s">
        <v>90</v>
      </c>
      <c r="L202" t="s">
        <v>63</v>
      </c>
      <c r="M202" t="str" cm="1">
        <f t="array" ref="M202">_xlfn.IFS(OR('Original Data'!M202=0,'Original Data'!M202="No",'Original Data'!M202=FALSE),"No",OR('Original Data'!M202=1,'Original Data'!M202="Yes",'Original Data'!M202=TRUE),"Yes")</f>
        <v>No</v>
      </c>
    </row>
    <row r="203" spans="1:13" x14ac:dyDescent="0.2">
      <c r="A203">
        <v>202</v>
      </c>
      <c r="B203" t="s">
        <v>56</v>
      </c>
      <c r="C203" s="5">
        <v>45019</v>
      </c>
      <c r="D203" t="s">
        <v>57</v>
      </c>
      <c r="E203" t="s">
        <v>48</v>
      </c>
      <c r="F203" t="s">
        <v>44</v>
      </c>
      <c r="H203">
        <v>3</v>
      </c>
      <c r="J203">
        <v>255</v>
      </c>
      <c r="K203" t="str">
        <f>PROPER('Original Data'!K203)</f>
        <v>Credit Card</v>
      </c>
      <c r="L203" t="s">
        <v>41</v>
      </c>
      <c r="M203" t="str" cm="1">
        <f t="array" ref="M203">_xlfn.IFS(OR('Original Data'!M203=0,'Original Data'!M203="No",'Original Data'!M203=FALSE),"No",OR('Original Data'!M203=1,'Original Data'!M203="Yes",'Original Data'!M203=TRUE),"Yes")</f>
        <v>Yes</v>
      </c>
    </row>
    <row r="204" spans="1:13" x14ac:dyDescent="0.2">
      <c r="A204">
        <v>203</v>
      </c>
      <c r="B204" t="s">
        <v>58</v>
      </c>
      <c r="C204" s="5">
        <v>45465</v>
      </c>
      <c r="D204" t="s">
        <v>59</v>
      </c>
      <c r="E204" t="s">
        <v>15</v>
      </c>
      <c r="F204" t="s">
        <v>40</v>
      </c>
      <c r="G204" t="s">
        <v>17</v>
      </c>
      <c r="H204">
        <v>1</v>
      </c>
      <c r="I204" s="7">
        <v>0</v>
      </c>
      <c r="J204">
        <v>59.95</v>
      </c>
      <c r="K204" t="str">
        <f>PROPER('Original Data'!K204)</f>
        <v>Credit Card</v>
      </c>
      <c r="L204" t="s">
        <v>45</v>
      </c>
      <c r="M204" t="str" cm="1">
        <f t="array" ref="M204">_xlfn.IFS(OR('Original Data'!M204=0,'Original Data'!M204="No",'Original Data'!M204=FALSE),"No",OR('Original Data'!M204=1,'Original Data'!M204="Yes",'Original Data'!M204=TRUE),"Yes")</f>
        <v>Yes</v>
      </c>
    </row>
    <row r="205" spans="1:13" x14ac:dyDescent="0.2">
      <c r="A205">
        <v>204</v>
      </c>
      <c r="B205" t="s">
        <v>83</v>
      </c>
      <c r="C205" s="5">
        <v>45608</v>
      </c>
      <c r="D205" t="str">
        <f>VLOOKUP(B205,'Original Data'!B:D,3,FALSE)</f>
        <v>Graphic Hoodie</v>
      </c>
      <c r="E205" t="str">
        <f>_xlfn.XLOOKUP('Cleaned Data'!B890,'Original Data'!B:B,'Original Data'!E:E)</f>
        <v>Old Navy</v>
      </c>
      <c r="F205" t="s">
        <v>21</v>
      </c>
      <c r="G205" t="s">
        <v>22</v>
      </c>
      <c r="H205">
        <v>3</v>
      </c>
      <c r="I205" s="7">
        <v>0</v>
      </c>
      <c r="J205">
        <v>149.85</v>
      </c>
      <c r="K205" t="str">
        <f>PROPER('Original Data'!K205)</f>
        <v>Debit Card</v>
      </c>
      <c r="L205" t="s">
        <v>49</v>
      </c>
      <c r="M205" t="s">
        <v>92</v>
      </c>
    </row>
    <row r="206" spans="1:13" x14ac:dyDescent="0.2">
      <c r="A206">
        <v>205</v>
      </c>
      <c r="B206" t="s">
        <v>31</v>
      </c>
      <c r="C206" s="5">
        <v>45506</v>
      </c>
      <c r="D206" t="s">
        <v>32</v>
      </c>
      <c r="E206" t="s">
        <v>33</v>
      </c>
      <c r="F206" t="s">
        <v>26</v>
      </c>
      <c r="G206" t="s">
        <v>22</v>
      </c>
      <c r="H206">
        <v>5</v>
      </c>
      <c r="I206" s="7">
        <v>0.15</v>
      </c>
      <c r="J206">
        <v>339.79</v>
      </c>
      <c r="K206" t="str">
        <f>PROPER('Original Data'!K206)</f>
        <v>Apple Pay</v>
      </c>
      <c r="L206" t="s">
        <v>63</v>
      </c>
      <c r="M206" t="str" cm="1">
        <f t="array" ref="M206">_xlfn.IFS(OR('Original Data'!M206=0,'Original Data'!M206="No",'Original Data'!M206=FALSE),"No",OR('Original Data'!M206=1,'Original Data'!M206="Yes",'Original Data'!M206=TRUE),"Yes")</f>
        <v>No</v>
      </c>
    </row>
    <row r="207" spans="1:13" x14ac:dyDescent="0.2">
      <c r="A207">
        <v>206</v>
      </c>
      <c r="B207" t="s">
        <v>88</v>
      </c>
      <c r="C207" s="5">
        <v>45182</v>
      </c>
      <c r="D207" t="s">
        <v>89</v>
      </c>
      <c r="E207" t="s">
        <v>33</v>
      </c>
      <c r="F207" t="s">
        <v>16</v>
      </c>
      <c r="G207" t="s">
        <v>17</v>
      </c>
      <c r="H207">
        <v>4</v>
      </c>
      <c r="I207" s="7">
        <v>0</v>
      </c>
      <c r="J207">
        <v>792</v>
      </c>
      <c r="K207" t="str">
        <f>PROPER('Original Data'!K207)</f>
        <v>Debit Card</v>
      </c>
      <c r="L207" t="s">
        <v>30</v>
      </c>
      <c r="M207" t="str" cm="1">
        <f t="array" ref="M207">_xlfn.IFS(OR('Original Data'!M207=0,'Original Data'!M207="No",'Original Data'!M207=FALSE),"No",OR('Original Data'!M207=1,'Original Data'!M207="Yes",'Original Data'!M207=TRUE),"Yes")</f>
        <v>No</v>
      </c>
    </row>
    <row r="208" spans="1:13" x14ac:dyDescent="0.2">
      <c r="A208">
        <v>207</v>
      </c>
      <c r="B208" t="s">
        <v>68</v>
      </c>
      <c r="C208" s="5">
        <v>45518</v>
      </c>
      <c r="D208" t="str">
        <f>VLOOKUP(B208,'Original Data'!B:D,3,FALSE)</f>
        <v xml:space="preserve">Ankle Boots  </v>
      </c>
      <c r="E208" t="str">
        <f>_xlfn.XLOOKUP('Cleaned Data'!B657,'Original Data'!B:B,'Original Data'!E:E)</f>
        <v>Athleta</v>
      </c>
      <c r="F208" t="s">
        <v>21</v>
      </c>
      <c r="G208" t="s">
        <v>22</v>
      </c>
      <c r="H208">
        <v>5</v>
      </c>
      <c r="I208" s="7">
        <v>0.2</v>
      </c>
      <c r="J208">
        <v>476</v>
      </c>
      <c r="K208" t="str">
        <f>PROPER('Original Data'!K208)</f>
        <v>Gift Card</v>
      </c>
      <c r="L208" t="s">
        <v>55</v>
      </c>
      <c r="M208" t="s">
        <v>92</v>
      </c>
    </row>
    <row r="209" spans="1:13" x14ac:dyDescent="0.2">
      <c r="A209">
        <v>208</v>
      </c>
      <c r="B209" t="s">
        <v>31</v>
      </c>
      <c r="C209" s="5">
        <v>45022</v>
      </c>
      <c r="D209" t="s">
        <v>32</v>
      </c>
      <c r="E209" t="s">
        <v>33</v>
      </c>
      <c r="F209" t="s">
        <v>40</v>
      </c>
      <c r="G209" t="s">
        <v>17</v>
      </c>
      <c r="H209">
        <v>4</v>
      </c>
      <c r="J209">
        <v>319.8</v>
      </c>
      <c r="K209" t="s">
        <v>90</v>
      </c>
      <c r="M209" t="str" cm="1">
        <f t="array" ref="M209">_xlfn.IFS(OR('Original Data'!M209=0,'Original Data'!M209="No",'Original Data'!M209=FALSE),"No",OR('Original Data'!M209=1,'Original Data'!M209="Yes",'Original Data'!M209=TRUE),"Yes")</f>
        <v>No</v>
      </c>
    </row>
    <row r="210" spans="1:13" x14ac:dyDescent="0.2">
      <c r="A210">
        <v>209</v>
      </c>
      <c r="B210" t="s">
        <v>85</v>
      </c>
      <c r="C210" s="5">
        <v>45170</v>
      </c>
      <c r="D210" t="s">
        <v>86</v>
      </c>
      <c r="E210" t="s">
        <v>76</v>
      </c>
      <c r="G210" t="s">
        <v>25</v>
      </c>
      <c r="H210">
        <v>5</v>
      </c>
      <c r="I210" s="7">
        <v>0.1</v>
      </c>
      <c r="J210">
        <v>404.78</v>
      </c>
      <c r="K210" t="str">
        <f>PROPER('Original Data'!K210)</f>
        <v>Cash</v>
      </c>
      <c r="L210" t="s">
        <v>30</v>
      </c>
      <c r="M210" t="str" cm="1">
        <f t="array" ref="M210">_xlfn.IFS(OR('Original Data'!M210=0,'Original Data'!M210="No",'Original Data'!M210=FALSE),"No",OR('Original Data'!M210=1,'Original Data'!M210="Yes",'Original Data'!M210=TRUE),"Yes")</f>
        <v>Yes</v>
      </c>
    </row>
    <row r="211" spans="1:13" x14ac:dyDescent="0.2">
      <c r="A211">
        <v>210</v>
      </c>
      <c r="B211" t="s">
        <v>37</v>
      </c>
      <c r="C211" s="5">
        <v>45580</v>
      </c>
      <c r="D211" t="s">
        <v>38</v>
      </c>
      <c r="E211" t="s">
        <v>39</v>
      </c>
      <c r="F211" t="s">
        <v>44</v>
      </c>
      <c r="H211">
        <v>1</v>
      </c>
      <c r="I211" s="7">
        <v>0</v>
      </c>
      <c r="J211">
        <v>64.95</v>
      </c>
      <c r="K211" t="str">
        <f>PROPER('Original Data'!K211)</f>
        <v>Debit Card</v>
      </c>
      <c r="L211" t="s">
        <v>63</v>
      </c>
      <c r="M211" t="str" cm="1">
        <f t="array" ref="M211">_xlfn.IFS(OR('Original Data'!M211=0,'Original Data'!M211="No",'Original Data'!M211=FALSE),"No",OR('Original Data'!M211=1,'Original Data'!M211="Yes",'Original Data'!M211=TRUE),"Yes")</f>
        <v>Yes</v>
      </c>
    </row>
    <row r="212" spans="1:13" x14ac:dyDescent="0.2">
      <c r="A212">
        <v>211</v>
      </c>
      <c r="B212" t="s">
        <v>31</v>
      </c>
      <c r="C212" s="5">
        <v>45383</v>
      </c>
      <c r="D212" t="s">
        <v>32</v>
      </c>
      <c r="E212" t="s">
        <v>33</v>
      </c>
      <c r="F212" t="s">
        <v>21</v>
      </c>
      <c r="G212" t="s">
        <v>22</v>
      </c>
      <c r="H212">
        <v>3</v>
      </c>
      <c r="I212" s="7">
        <v>0.2</v>
      </c>
      <c r="J212">
        <v>191.88</v>
      </c>
      <c r="K212" t="str">
        <f>PROPER('Original Data'!K212)</f>
        <v>Debit Card</v>
      </c>
      <c r="L212" t="s">
        <v>49</v>
      </c>
      <c r="M212" t="str" cm="1">
        <f t="array" ref="M212">_xlfn.IFS(OR('Original Data'!M212=0,'Original Data'!M212="No",'Original Data'!M212=FALSE),"No",OR('Original Data'!M212=1,'Original Data'!M212="Yes",'Original Data'!M212=TRUE),"Yes")</f>
        <v>No</v>
      </c>
    </row>
    <row r="213" spans="1:13" x14ac:dyDescent="0.2">
      <c r="A213">
        <v>212</v>
      </c>
      <c r="B213" t="s">
        <v>56</v>
      </c>
      <c r="C213" s="5">
        <v>45462</v>
      </c>
      <c r="D213" t="s">
        <v>57</v>
      </c>
      <c r="E213" t="s">
        <v>48</v>
      </c>
      <c r="F213" t="s">
        <v>40</v>
      </c>
      <c r="G213" t="s">
        <v>17</v>
      </c>
      <c r="H213">
        <v>4</v>
      </c>
      <c r="I213" s="7">
        <v>0.05</v>
      </c>
      <c r="J213">
        <v>323</v>
      </c>
      <c r="K213" t="str">
        <f>PROPER('Original Data'!K213)</f>
        <v>Gift Card</v>
      </c>
      <c r="L213" t="s">
        <v>23</v>
      </c>
      <c r="M213" t="str" cm="1">
        <f t="array" ref="M213">_xlfn.IFS(OR('Original Data'!M213=0,'Original Data'!M213="No",'Original Data'!M213=FALSE),"No",OR('Original Data'!M213=1,'Original Data'!M213="Yes",'Original Data'!M213=TRUE),"Yes")</f>
        <v>Yes</v>
      </c>
    </row>
    <row r="214" spans="1:13" x14ac:dyDescent="0.2">
      <c r="A214">
        <v>213</v>
      </c>
      <c r="B214" t="s">
        <v>78</v>
      </c>
      <c r="C214" s="5">
        <v>45104</v>
      </c>
      <c r="D214" t="s">
        <v>79</v>
      </c>
      <c r="E214" t="s">
        <v>48</v>
      </c>
      <c r="F214" t="s">
        <v>26</v>
      </c>
      <c r="G214" t="s">
        <v>22</v>
      </c>
      <c r="H214">
        <v>5</v>
      </c>
      <c r="I214" s="7">
        <v>0</v>
      </c>
      <c r="J214">
        <v>199.75</v>
      </c>
      <c r="K214" t="str">
        <f>PROPER('Original Data'!K214)</f>
        <v>Gift Card</v>
      </c>
      <c r="L214" t="s">
        <v>55</v>
      </c>
      <c r="M214" t="str" cm="1">
        <f t="array" ref="M214">_xlfn.IFS(OR('Original Data'!M214=0,'Original Data'!M214="No",'Original Data'!M214=FALSE),"No",OR('Original Data'!M214=1,'Original Data'!M214="Yes",'Original Data'!M214=TRUE),"Yes")</f>
        <v>Yes</v>
      </c>
    </row>
    <row r="215" spans="1:13" x14ac:dyDescent="0.2">
      <c r="A215">
        <v>214</v>
      </c>
      <c r="B215" t="s">
        <v>88</v>
      </c>
      <c r="C215" s="5">
        <v>45333</v>
      </c>
      <c r="D215" t="s">
        <v>89</v>
      </c>
      <c r="E215" t="s">
        <v>33</v>
      </c>
      <c r="F215" t="s">
        <v>53</v>
      </c>
      <c r="G215" t="s">
        <v>54</v>
      </c>
      <c r="H215">
        <v>1</v>
      </c>
      <c r="I215" s="7">
        <v>0</v>
      </c>
      <c r="J215">
        <v>198</v>
      </c>
      <c r="K215" t="s">
        <v>90</v>
      </c>
      <c r="L215" t="s">
        <v>28</v>
      </c>
      <c r="M215" t="str" cm="1">
        <f t="array" ref="M215">_xlfn.IFS(OR('Original Data'!M215=0,'Original Data'!M215="No",'Original Data'!M215=FALSE),"No",OR('Original Data'!M215=1,'Original Data'!M215="Yes",'Original Data'!M215=TRUE),"Yes")</f>
        <v>No</v>
      </c>
    </row>
    <row r="216" spans="1:13" x14ac:dyDescent="0.2">
      <c r="A216">
        <v>215</v>
      </c>
      <c r="B216" t="s">
        <v>61</v>
      </c>
      <c r="C216" s="5">
        <v>45030</v>
      </c>
      <c r="D216" t="s">
        <v>62</v>
      </c>
      <c r="E216" t="s">
        <v>33</v>
      </c>
      <c r="F216" t="s">
        <v>21</v>
      </c>
      <c r="G216" t="s">
        <v>22</v>
      </c>
      <c r="H216">
        <v>2</v>
      </c>
      <c r="I216" s="7">
        <v>0</v>
      </c>
      <c r="J216">
        <v>69.98</v>
      </c>
      <c r="K216" t="s">
        <v>90</v>
      </c>
      <c r="L216" t="s">
        <v>55</v>
      </c>
      <c r="M216" t="str" cm="1">
        <f t="array" ref="M216">_xlfn.IFS(OR('Original Data'!M216=0,'Original Data'!M216="No",'Original Data'!M216=FALSE),"No",OR('Original Data'!M216=1,'Original Data'!M216="Yes",'Original Data'!M216=TRUE),"Yes")</f>
        <v>No</v>
      </c>
    </row>
    <row r="217" spans="1:13" x14ac:dyDescent="0.2">
      <c r="A217">
        <v>216</v>
      </c>
      <c r="B217" t="s">
        <v>61</v>
      </c>
      <c r="C217" s="5">
        <v>45266</v>
      </c>
      <c r="D217" t="s">
        <v>62</v>
      </c>
      <c r="E217" t="s">
        <v>33</v>
      </c>
      <c r="F217" t="s">
        <v>21</v>
      </c>
      <c r="G217" t="s">
        <v>22</v>
      </c>
      <c r="H217">
        <v>5</v>
      </c>
      <c r="I217" s="7">
        <v>0.2</v>
      </c>
      <c r="J217">
        <v>139.96</v>
      </c>
      <c r="K217" t="str">
        <f>PROPER('Original Data'!K217)</f>
        <v>Gift Card</v>
      </c>
      <c r="L217" t="s">
        <v>23</v>
      </c>
      <c r="M217" t="str" cm="1">
        <f t="array" ref="M217">_xlfn.IFS(OR('Original Data'!M217=0,'Original Data'!M217="No",'Original Data'!M217=FALSE),"No",OR('Original Data'!M217=1,'Original Data'!M217="Yes",'Original Data'!M217=TRUE),"Yes")</f>
        <v>No</v>
      </c>
    </row>
    <row r="218" spans="1:13" x14ac:dyDescent="0.2">
      <c r="A218">
        <v>217</v>
      </c>
      <c r="B218" t="s">
        <v>46</v>
      </c>
      <c r="C218" s="5">
        <v>45380</v>
      </c>
      <c r="D218" t="s">
        <v>47</v>
      </c>
      <c r="E218" t="s">
        <v>48</v>
      </c>
      <c r="F218" t="s">
        <v>44</v>
      </c>
      <c r="H218">
        <v>2</v>
      </c>
      <c r="I218" s="7">
        <v>0</v>
      </c>
      <c r="J218">
        <v>99.9</v>
      </c>
      <c r="K218" t="str">
        <f>PROPER('Original Data'!K218)</f>
        <v>Apple Pay</v>
      </c>
      <c r="L218" t="s">
        <v>30</v>
      </c>
      <c r="M218" t="str" cm="1">
        <f t="array" ref="M218">_xlfn.IFS(OR('Original Data'!M218=0,'Original Data'!M218="No",'Original Data'!M218=FALSE),"No",OR('Original Data'!M218=1,'Original Data'!M218="Yes",'Original Data'!M218=TRUE),"Yes")</f>
        <v>No</v>
      </c>
    </row>
    <row r="219" spans="1:13" x14ac:dyDescent="0.2">
      <c r="A219">
        <v>218</v>
      </c>
      <c r="B219" t="s">
        <v>58</v>
      </c>
      <c r="C219" s="5">
        <v>45653</v>
      </c>
      <c r="D219" t="s">
        <v>59</v>
      </c>
      <c r="E219" t="s">
        <v>15</v>
      </c>
      <c r="F219" t="s">
        <v>40</v>
      </c>
      <c r="G219" t="s">
        <v>17</v>
      </c>
      <c r="H219">
        <v>5</v>
      </c>
      <c r="I219" s="7">
        <v>0</v>
      </c>
      <c r="J219">
        <v>299.75</v>
      </c>
      <c r="K219" t="str">
        <f>PROPER('Original Data'!K219)</f>
        <v>Cash</v>
      </c>
      <c r="L219" t="s">
        <v>55</v>
      </c>
      <c r="M219" t="str" cm="1">
        <f t="array" ref="M219">_xlfn.IFS(OR('Original Data'!M219=0,'Original Data'!M219="No",'Original Data'!M219=FALSE),"No",OR('Original Data'!M219=1,'Original Data'!M219="Yes",'Original Data'!M219=TRUE),"Yes")</f>
        <v>Yes</v>
      </c>
    </row>
    <row r="220" spans="1:13" x14ac:dyDescent="0.2">
      <c r="A220">
        <v>219</v>
      </c>
      <c r="B220" t="s">
        <v>24</v>
      </c>
      <c r="C220" s="5">
        <v>45304</v>
      </c>
      <c r="D220" t="s">
        <v>87</v>
      </c>
      <c r="E220" t="s">
        <v>39</v>
      </c>
      <c r="F220" t="s">
        <v>26</v>
      </c>
      <c r="G220" t="s">
        <v>22</v>
      </c>
      <c r="H220">
        <v>1</v>
      </c>
      <c r="I220" s="7">
        <v>0</v>
      </c>
      <c r="J220">
        <v>44.95</v>
      </c>
      <c r="K220" t="str">
        <f>PROPER('Original Data'!K220)</f>
        <v>Cash</v>
      </c>
      <c r="L220" t="s">
        <v>63</v>
      </c>
      <c r="M220" t="str" cm="1">
        <f t="array" ref="M220">_xlfn.IFS(OR('Original Data'!M220=0,'Original Data'!M220="No",'Original Data'!M220=FALSE),"No",OR('Original Data'!M220=1,'Original Data'!M220="Yes",'Original Data'!M220=TRUE),"Yes")</f>
        <v>Yes</v>
      </c>
    </row>
    <row r="221" spans="1:13" x14ac:dyDescent="0.2">
      <c r="A221">
        <v>220</v>
      </c>
      <c r="B221" t="s">
        <v>68</v>
      </c>
      <c r="C221" s="5">
        <v>44955</v>
      </c>
      <c r="D221" t="s">
        <v>69</v>
      </c>
      <c r="E221" t="s">
        <v>33</v>
      </c>
      <c r="G221" t="s">
        <v>25</v>
      </c>
      <c r="H221">
        <v>2</v>
      </c>
      <c r="I221" s="7">
        <v>0.1</v>
      </c>
      <c r="J221">
        <v>214.2</v>
      </c>
      <c r="K221" t="str">
        <f>PROPER('Original Data'!K221)</f>
        <v>Cash</v>
      </c>
      <c r="L221" t="s">
        <v>55</v>
      </c>
      <c r="M221" t="str" cm="1">
        <f t="array" ref="M221">_xlfn.IFS(OR('Original Data'!M221=0,'Original Data'!M221="No",'Original Data'!M221=FALSE),"No",OR('Original Data'!M221=1,'Original Data'!M221="Yes",'Original Data'!M221=TRUE),"Yes")</f>
        <v>No</v>
      </c>
    </row>
    <row r="222" spans="1:13" x14ac:dyDescent="0.2">
      <c r="A222">
        <v>221</v>
      </c>
      <c r="B222" t="s">
        <v>13</v>
      </c>
      <c r="C222" s="5">
        <v>44935</v>
      </c>
      <c r="D222" t="s">
        <v>14</v>
      </c>
      <c r="E222" t="s">
        <v>15</v>
      </c>
      <c r="F222" t="s">
        <v>26</v>
      </c>
      <c r="G222" t="s">
        <v>22</v>
      </c>
      <c r="H222">
        <v>4</v>
      </c>
      <c r="I222" s="7">
        <v>0</v>
      </c>
      <c r="J222">
        <v>79.959999999999994</v>
      </c>
      <c r="K222" t="s">
        <v>90</v>
      </c>
      <c r="L222" t="s">
        <v>45</v>
      </c>
      <c r="M222" t="str" cm="1">
        <f t="array" ref="M222">_xlfn.IFS(OR('Original Data'!M222=0,'Original Data'!M222="No",'Original Data'!M222=FALSE),"No",OR('Original Data'!M222=1,'Original Data'!M222="Yes",'Original Data'!M222=TRUE),"Yes")</f>
        <v>No</v>
      </c>
    </row>
    <row r="223" spans="1:13" x14ac:dyDescent="0.2">
      <c r="A223">
        <v>222</v>
      </c>
      <c r="B223" t="s">
        <v>37</v>
      </c>
      <c r="C223" s="5">
        <v>45031</v>
      </c>
      <c r="D223" t="s">
        <v>38</v>
      </c>
      <c r="E223" t="s">
        <v>39</v>
      </c>
      <c r="F223" t="s">
        <v>53</v>
      </c>
      <c r="G223" t="s">
        <v>54</v>
      </c>
      <c r="H223">
        <v>4</v>
      </c>
      <c r="I223" s="7">
        <v>0.1</v>
      </c>
      <c r="J223">
        <v>233.82</v>
      </c>
      <c r="K223" t="s">
        <v>90</v>
      </c>
      <c r="L223" t="s">
        <v>28</v>
      </c>
      <c r="M223" t="str" cm="1">
        <f t="array" ref="M223">_xlfn.IFS(OR('Original Data'!M223=0,'Original Data'!M223="No",'Original Data'!M223=FALSE),"No",OR('Original Data'!M223=1,'Original Data'!M223="Yes",'Original Data'!M223=TRUE),"Yes")</f>
        <v>Yes</v>
      </c>
    </row>
    <row r="224" spans="1:13" x14ac:dyDescent="0.2">
      <c r="A224">
        <v>223</v>
      </c>
      <c r="B224" t="s">
        <v>88</v>
      </c>
      <c r="C224" s="5">
        <v>45598</v>
      </c>
      <c r="D224" t="str">
        <f>VLOOKUP(B224,'Original Data'!B:D,3,FALSE)</f>
        <v>Trench Coat</v>
      </c>
      <c r="E224" t="str">
        <f>_xlfn.XLOOKUP('Cleaned Data'!B600,'Original Data'!B:B,'Original Data'!E:E)</f>
        <v>NULL</v>
      </c>
      <c r="F224" t="s">
        <v>16</v>
      </c>
      <c r="G224" t="s">
        <v>17</v>
      </c>
      <c r="H224">
        <v>3</v>
      </c>
      <c r="I224" s="7">
        <v>0.15</v>
      </c>
      <c r="J224">
        <v>504.9</v>
      </c>
      <c r="K224" t="str">
        <f>PROPER('Original Data'!K224)</f>
        <v>Cash</v>
      </c>
      <c r="L224" t="s">
        <v>30</v>
      </c>
      <c r="M224" t="s">
        <v>92</v>
      </c>
    </row>
    <row r="225" spans="1:13" x14ac:dyDescent="0.2">
      <c r="A225">
        <v>224</v>
      </c>
      <c r="B225" t="s">
        <v>88</v>
      </c>
      <c r="C225" s="5">
        <v>45192</v>
      </c>
      <c r="D225" t="s">
        <v>89</v>
      </c>
      <c r="E225" t="s">
        <v>33</v>
      </c>
      <c r="F225" t="s">
        <v>21</v>
      </c>
      <c r="G225" t="s">
        <v>22</v>
      </c>
      <c r="H225">
        <v>2</v>
      </c>
      <c r="I225" s="7">
        <v>0</v>
      </c>
      <c r="J225">
        <v>396</v>
      </c>
      <c r="K225" t="str">
        <f>PROPER('Original Data'!K225)</f>
        <v>Cash</v>
      </c>
      <c r="L225" t="s">
        <v>41</v>
      </c>
      <c r="M225" t="str" cm="1">
        <f t="array" ref="M225">_xlfn.IFS(OR('Original Data'!M225=0,'Original Data'!M225="No",'Original Data'!M225=FALSE),"No",OR('Original Data'!M225=1,'Original Data'!M225="Yes",'Original Data'!M225=TRUE),"Yes")</f>
        <v>No</v>
      </c>
    </row>
    <row r="226" spans="1:13" x14ac:dyDescent="0.2">
      <c r="A226">
        <v>225</v>
      </c>
      <c r="B226" t="s">
        <v>68</v>
      </c>
      <c r="C226" s="5">
        <v>45498</v>
      </c>
      <c r="D226" t="s">
        <v>69</v>
      </c>
      <c r="E226" t="s">
        <v>33</v>
      </c>
      <c r="F226" t="s">
        <v>44</v>
      </c>
      <c r="H226">
        <v>5</v>
      </c>
      <c r="I226" s="7">
        <v>0.1</v>
      </c>
      <c r="J226">
        <v>535.5</v>
      </c>
      <c r="K226" t="str">
        <f>PROPER('Original Data'!K226)</f>
        <v>Apple Pay</v>
      </c>
      <c r="L226" t="s">
        <v>45</v>
      </c>
      <c r="M226" t="str" cm="1">
        <f t="array" ref="M226">_xlfn.IFS(OR('Original Data'!M226=0,'Original Data'!M226="No",'Original Data'!M226=FALSE),"No",OR('Original Data'!M226=1,'Original Data'!M226="Yes",'Original Data'!M226=TRUE),"Yes")</f>
        <v>No</v>
      </c>
    </row>
    <row r="227" spans="1:13" x14ac:dyDescent="0.2">
      <c r="A227">
        <v>226</v>
      </c>
      <c r="B227" t="s">
        <v>19</v>
      </c>
      <c r="C227" s="5">
        <v>45266</v>
      </c>
      <c r="D227" t="s">
        <v>20</v>
      </c>
      <c r="E227" t="s">
        <v>15</v>
      </c>
      <c r="F227" t="s">
        <v>16</v>
      </c>
      <c r="G227" t="s">
        <v>17</v>
      </c>
      <c r="H227">
        <v>3</v>
      </c>
      <c r="I227" s="7">
        <v>0.05</v>
      </c>
      <c r="J227">
        <v>256.36</v>
      </c>
      <c r="K227" t="str">
        <f>PROPER('Original Data'!K227)</f>
        <v>Gift Card</v>
      </c>
      <c r="L227" t="s">
        <v>30</v>
      </c>
      <c r="M227" t="str" cm="1">
        <f t="array" ref="M227">_xlfn.IFS(OR('Original Data'!M227=0,'Original Data'!M227="No",'Original Data'!M227=FALSE),"No",OR('Original Data'!M227=1,'Original Data'!M227="Yes",'Original Data'!M227=TRUE),"Yes")</f>
        <v>Yes</v>
      </c>
    </row>
    <row r="228" spans="1:13" x14ac:dyDescent="0.2">
      <c r="A228">
        <v>227</v>
      </c>
      <c r="B228" t="s">
        <v>78</v>
      </c>
      <c r="C228" s="5">
        <v>44982</v>
      </c>
      <c r="D228" t="s">
        <v>79</v>
      </c>
      <c r="E228" t="s">
        <v>48</v>
      </c>
      <c r="F228" t="s">
        <v>34</v>
      </c>
      <c r="G228" t="s">
        <v>35</v>
      </c>
      <c r="H228">
        <v>1</v>
      </c>
      <c r="I228" s="7">
        <v>0.2</v>
      </c>
      <c r="J228">
        <v>31.96</v>
      </c>
      <c r="K228" t="str">
        <f>PROPER('Original Data'!K228)</f>
        <v>Gift Card</v>
      </c>
      <c r="L228" t="s">
        <v>30</v>
      </c>
      <c r="M228" t="str" cm="1">
        <f t="array" ref="M228">_xlfn.IFS(OR('Original Data'!M228=0,'Original Data'!M228="No",'Original Data'!M228=FALSE),"No",OR('Original Data'!M228=1,'Original Data'!M228="Yes",'Original Data'!M228=TRUE),"Yes")</f>
        <v>Yes</v>
      </c>
    </row>
    <row r="229" spans="1:13" x14ac:dyDescent="0.2">
      <c r="A229">
        <v>228</v>
      </c>
      <c r="B229" t="s">
        <v>83</v>
      </c>
      <c r="C229" s="5">
        <v>44986</v>
      </c>
      <c r="D229" t="s">
        <v>84</v>
      </c>
      <c r="E229" t="s">
        <v>48</v>
      </c>
      <c r="F229" t="s">
        <v>16</v>
      </c>
      <c r="G229" t="s">
        <v>17</v>
      </c>
      <c r="H229">
        <v>3</v>
      </c>
      <c r="I229" s="7">
        <v>0</v>
      </c>
      <c r="J229">
        <v>149.85</v>
      </c>
      <c r="K229" t="str">
        <f>PROPER('Original Data'!K229)</f>
        <v>Apple Pay</v>
      </c>
      <c r="L229" t="s">
        <v>49</v>
      </c>
      <c r="M229" t="str" cm="1">
        <f t="array" ref="M229">_xlfn.IFS(OR('Original Data'!M229=0,'Original Data'!M229="No",'Original Data'!M229=FALSE),"No",OR('Original Data'!M229=1,'Original Data'!M229="Yes",'Original Data'!M229=TRUE),"Yes")</f>
        <v>No</v>
      </c>
    </row>
    <row r="230" spans="1:13" x14ac:dyDescent="0.2">
      <c r="A230">
        <v>229</v>
      </c>
      <c r="B230" t="s">
        <v>85</v>
      </c>
      <c r="C230" s="5">
        <v>44931</v>
      </c>
      <c r="D230" t="s">
        <v>86</v>
      </c>
      <c r="E230" t="s">
        <v>76</v>
      </c>
      <c r="F230" t="s">
        <v>21</v>
      </c>
      <c r="G230" t="s">
        <v>22</v>
      </c>
      <c r="H230">
        <v>4</v>
      </c>
      <c r="I230" s="7">
        <v>0.2</v>
      </c>
      <c r="J230">
        <v>287.83999999999997</v>
      </c>
      <c r="K230" t="str">
        <f>PROPER('Original Data'!K230)</f>
        <v>Gift Card</v>
      </c>
      <c r="M230" t="str" cm="1">
        <f t="array" ref="M230">_xlfn.IFS(OR('Original Data'!M230=0,'Original Data'!M230="No",'Original Data'!M230=FALSE),"No",OR('Original Data'!M230=1,'Original Data'!M230="Yes",'Original Data'!M230=TRUE),"Yes")</f>
        <v>Yes</v>
      </c>
    </row>
    <row r="231" spans="1:13" x14ac:dyDescent="0.2">
      <c r="A231">
        <v>230</v>
      </c>
      <c r="B231" t="s">
        <v>68</v>
      </c>
      <c r="C231" s="5">
        <v>45442</v>
      </c>
      <c r="D231" t="s">
        <v>69</v>
      </c>
      <c r="E231" t="s">
        <v>33</v>
      </c>
      <c r="F231" t="s">
        <v>34</v>
      </c>
      <c r="G231" t="s">
        <v>35</v>
      </c>
      <c r="H231">
        <v>3</v>
      </c>
      <c r="I231" s="7">
        <v>0</v>
      </c>
      <c r="J231">
        <v>357</v>
      </c>
      <c r="K231" t="str">
        <f>PROPER('Original Data'!K231)</f>
        <v>Gift Card</v>
      </c>
      <c r="L231" t="s">
        <v>55</v>
      </c>
      <c r="M231" t="str" cm="1">
        <f t="array" ref="M231">_xlfn.IFS(OR('Original Data'!M231=0,'Original Data'!M231="No",'Original Data'!M231=FALSE),"No",OR('Original Data'!M231=1,'Original Data'!M231="Yes",'Original Data'!M231=TRUE),"Yes")</f>
        <v>No</v>
      </c>
    </row>
    <row r="232" spans="1:13" x14ac:dyDescent="0.2">
      <c r="A232">
        <v>231</v>
      </c>
      <c r="B232" t="s">
        <v>88</v>
      </c>
      <c r="C232" s="5">
        <v>45340</v>
      </c>
      <c r="D232" t="s">
        <v>89</v>
      </c>
      <c r="E232" t="s">
        <v>33</v>
      </c>
      <c r="F232" t="s">
        <v>66</v>
      </c>
      <c r="G232" t="s">
        <v>67</v>
      </c>
      <c r="H232">
        <v>4</v>
      </c>
      <c r="I232" s="7">
        <v>0.15</v>
      </c>
      <c r="J232">
        <v>673.2</v>
      </c>
      <c r="K232" t="str">
        <f>PROPER('Original Data'!K232)</f>
        <v>Debit Card</v>
      </c>
      <c r="L232" t="s">
        <v>63</v>
      </c>
      <c r="M232" t="str" cm="1">
        <f t="array" ref="M232">_xlfn.IFS(OR('Original Data'!M232=0,'Original Data'!M232="No",'Original Data'!M232=FALSE),"No",OR('Original Data'!M232=1,'Original Data'!M232="Yes",'Original Data'!M232=TRUE),"Yes")</f>
        <v>No</v>
      </c>
    </row>
    <row r="233" spans="1:13" x14ac:dyDescent="0.2">
      <c r="A233">
        <v>232</v>
      </c>
      <c r="B233" t="s">
        <v>74</v>
      </c>
      <c r="C233" s="5">
        <v>45037</v>
      </c>
      <c r="D233" t="s">
        <v>75</v>
      </c>
      <c r="E233" t="s">
        <v>76</v>
      </c>
      <c r="F233" t="s">
        <v>26</v>
      </c>
      <c r="G233" t="s">
        <v>22</v>
      </c>
      <c r="H233">
        <v>3</v>
      </c>
      <c r="I233" s="7">
        <v>0</v>
      </c>
      <c r="J233">
        <v>134.85</v>
      </c>
      <c r="K233" t="str">
        <f>PROPER('Original Data'!K233)</f>
        <v>Apple Pay</v>
      </c>
      <c r="L233" t="s">
        <v>23</v>
      </c>
      <c r="M233" t="str" cm="1">
        <f t="array" ref="M233">_xlfn.IFS(OR('Original Data'!M233=0,'Original Data'!M233="No",'Original Data'!M233=FALSE),"No",OR('Original Data'!M233=1,'Original Data'!M233="Yes",'Original Data'!M233=TRUE),"Yes")</f>
        <v>No</v>
      </c>
    </row>
    <row r="234" spans="1:13" x14ac:dyDescent="0.2">
      <c r="A234">
        <v>233</v>
      </c>
      <c r="B234" t="s">
        <v>13</v>
      </c>
      <c r="C234" s="5">
        <v>45459</v>
      </c>
      <c r="D234" t="s">
        <v>14</v>
      </c>
      <c r="E234" t="s">
        <v>15</v>
      </c>
      <c r="F234" t="s">
        <v>34</v>
      </c>
      <c r="G234" t="s">
        <v>35</v>
      </c>
      <c r="H234">
        <v>3</v>
      </c>
      <c r="I234" s="7">
        <v>0.2</v>
      </c>
      <c r="J234">
        <v>47.98</v>
      </c>
      <c r="K234" t="str">
        <f>PROPER('Original Data'!K234)</f>
        <v>Apple Pay</v>
      </c>
      <c r="L234" t="s">
        <v>55</v>
      </c>
      <c r="M234" t="str" cm="1">
        <f t="array" ref="M234">_xlfn.IFS(OR('Original Data'!M234=0,'Original Data'!M234="No",'Original Data'!M234=FALSE),"No",OR('Original Data'!M234=1,'Original Data'!M234="Yes",'Original Data'!M234=TRUE),"Yes")</f>
        <v>No</v>
      </c>
    </row>
    <row r="235" spans="1:13" x14ac:dyDescent="0.2">
      <c r="A235">
        <v>234</v>
      </c>
      <c r="B235" t="s">
        <v>37</v>
      </c>
      <c r="C235" s="5">
        <v>45133</v>
      </c>
      <c r="D235" t="s">
        <v>38</v>
      </c>
      <c r="E235" t="s">
        <v>39</v>
      </c>
      <c r="F235" t="s">
        <v>44</v>
      </c>
      <c r="H235">
        <v>5</v>
      </c>
      <c r="I235" s="7">
        <v>0.05</v>
      </c>
      <c r="J235">
        <v>308.51</v>
      </c>
      <c r="K235" t="s">
        <v>90</v>
      </c>
      <c r="L235" t="s">
        <v>30</v>
      </c>
      <c r="M235" t="str" cm="1">
        <f t="array" ref="M235">_xlfn.IFS(OR('Original Data'!M235=0,'Original Data'!M235="No",'Original Data'!M235=FALSE),"No",OR('Original Data'!M235=1,'Original Data'!M235="Yes",'Original Data'!M235=TRUE),"Yes")</f>
        <v>Yes</v>
      </c>
    </row>
    <row r="236" spans="1:13" x14ac:dyDescent="0.2">
      <c r="A236">
        <v>235</v>
      </c>
      <c r="B236" t="s">
        <v>81</v>
      </c>
      <c r="C236" s="5">
        <v>45003</v>
      </c>
      <c r="D236" t="s">
        <v>82</v>
      </c>
      <c r="E236" t="s">
        <v>15</v>
      </c>
      <c r="F236" t="s">
        <v>16</v>
      </c>
      <c r="G236" t="s">
        <v>17</v>
      </c>
      <c r="H236">
        <v>4</v>
      </c>
      <c r="I236" s="7">
        <v>0</v>
      </c>
      <c r="J236">
        <v>319.8</v>
      </c>
      <c r="K236" t="s">
        <v>90</v>
      </c>
      <c r="M236" t="str" cm="1">
        <f t="array" ref="M236">_xlfn.IFS(OR('Original Data'!M236=0,'Original Data'!M236="No",'Original Data'!M236=FALSE),"No",OR('Original Data'!M236=1,'Original Data'!M236="Yes",'Original Data'!M236=TRUE),"Yes")</f>
        <v>Yes</v>
      </c>
    </row>
    <row r="237" spans="1:13" x14ac:dyDescent="0.2">
      <c r="A237">
        <v>236</v>
      </c>
      <c r="B237" t="s">
        <v>50</v>
      </c>
      <c r="C237" s="5">
        <v>45045</v>
      </c>
      <c r="D237" t="s">
        <v>51</v>
      </c>
      <c r="E237" t="s">
        <v>15</v>
      </c>
      <c r="F237" t="s">
        <v>26</v>
      </c>
      <c r="G237" t="s">
        <v>22</v>
      </c>
      <c r="H237">
        <v>3</v>
      </c>
      <c r="I237" s="7">
        <v>0.15</v>
      </c>
      <c r="J237">
        <v>178.37</v>
      </c>
      <c r="K237" t="str">
        <f>PROPER('Original Data'!K237)</f>
        <v>Apple Pay</v>
      </c>
      <c r="L237" t="s">
        <v>28</v>
      </c>
      <c r="M237" t="str" cm="1">
        <f t="array" ref="M237">_xlfn.IFS(OR('Original Data'!M237=0,'Original Data'!M237="No",'Original Data'!M237=FALSE),"No",OR('Original Data'!M237=1,'Original Data'!M237="Yes",'Original Data'!M237=TRUE),"Yes")</f>
        <v>No</v>
      </c>
    </row>
    <row r="238" spans="1:13" x14ac:dyDescent="0.2">
      <c r="A238">
        <v>237</v>
      </c>
      <c r="B238" t="s">
        <v>42</v>
      </c>
      <c r="C238" s="5">
        <v>45337</v>
      </c>
      <c r="D238" t="s">
        <v>91</v>
      </c>
      <c r="E238" t="s">
        <v>15</v>
      </c>
      <c r="F238" t="s">
        <v>53</v>
      </c>
      <c r="G238" t="s">
        <v>54</v>
      </c>
      <c r="H238">
        <v>3</v>
      </c>
      <c r="I238" s="7">
        <v>0.15</v>
      </c>
      <c r="J238">
        <v>328.95</v>
      </c>
      <c r="K238" t="str">
        <f>PROPER('Original Data'!K238)</f>
        <v>Credit Card</v>
      </c>
      <c r="L238" t="s">
        <v>45</v>
      </c>
      <c r="M238" t="str" cm="1">
        <f t="array" ref="M238">_xlfn.IFS(OR('Original Data'!M238=0,'Original Data'!M238="No",'Original Data'!M238=FALSE),"No",OR('Original Data'!M238=1,'Original Data'!M238="Yes",'Original Data'!M238=TRUE),"Yes")</f>
        <v>Yes</v>
      </c>
    </row>
    <row r="239" spans="1:13" x14ac:dyDescent="0.2">
      <c r="A239">
        <v>238</v>
      </c>
      <c r="B239" t="s">
        <v>31</v>
      </c>
      <c r="C239" s="5">
        <v>45621</v>
      </c>
      <c r="D239" t="s">
        <v>32</v>
      </c>
      <c r="E239" t="s">
        <v>33</v>
      </c>
      <c r="F239" t="s">
        <v>26</v>
      </c>
      <c r="G239" t="s">
        <v>22</v>
      </c>
      <c r="H239">
        <v>1</v>
      </c>
      <c r="J239">
        <v>79.95</v>
      </c>
      <c r="K239" t="s">
        <v>90</v>
      </c>
      <c r="L239" t="s">
        <v>41</v>
      </c>
      <c r="M239" t="str" cm="1">
        <f t="array" ref="M239">_xlfn.IFS(OR('Original Data'!M239=0,'Original Data'!M239="No",'Original Data'!M239=FALSE),"No",OR('Original Data'!M239=1,'Original Data'!M239="Yes",'Original Data'!M239=TRUE),"Yes")</f>
        <v>No</v>
      </c>
    </row>
    <row r="240" spans="1:13" x14ac:dyDescent="0.2">
      <c r="A240">
        <v>239</v>
      </c>
      <c r="B240" t="s">
        <v>64</v>
      </c>
      <c r="C240" s="5">
        <v>45273</v>
      </c>
      <c r="D240" t="s">
        <v>65</v>
      </c>
      <c r="E240" t="s">
        <v>33</v>
      </c>
      <c r="F240" t="s">
        <v>16</v>
      </c>
      <c r="G240" t="s">
        <v>17</v>
      </c>
      <c r="H240">
        <v>3</v>
      </c>
      <c r="I240" s="7">
        <v>0</v>
      </c>
      <c r="J240">
        <v>224.85</v>
      </c>
      <c r="K240" t="str">
        <f>PROPER('Original Data'!K240)</f>
        <v>Apple Pay</v>
      </c>
      <c r="L240" t="s">
        <v>63</v>
      </c>
      <c r="M240" t="str" cm="1">
        <f t="array" ref="M240">_xlfn.IFS(OR('Original Data'!M240=0,'Original Data'!M240="No",'Original Data'!M240=FALSE),"No",OR('Original Data'!M240=1,'Original Data'!M240="Yes",'Original Data'!M240=TRUE),"Yes")</f>
        <v>No</v>
      </c>
    </row>
    <row r="241" spans="1:13" x14ac:dyDescent="0.2">
      <c r="A241">
        <v>240</v>
      </c>
      <c r="B241" t="s">
        <v>13</v>
      </c>
      <c r="C241" s="5">
        <v>45003</v>
      </c>
      <c r="D241" t="s">
        <v>14</v>
      </c>
      <c r="E241" t="s">
        <v>15</v>
      </c>
      <c r="F241" t="s">
        <v>26</v>
      </c>
      <c r="G241" t="s">
        <v>22</v>
      </c>
      <c r="H241">
        <v>2</v>
      </c>
      <c r="I241" s="7">
        <v>0.25</v>
      </c>
      <c r="J241">
        <v>29.98</v>
      </c>
      <c r="K241" t="str">
        <f>PROPER('Original Data'!K241)</f>
        <v>Debit Card</v>
      </c>
      <c r="L241" t="s">
        <v>41</v>
      </c>
      <c r="M241" t="str" cm="1">
        <f t="array" ref="M241">_xlfn.IFS(OR('Original Data'!M241=0,'Original Data'!M241="No",'Original Data'!M241=FALSE),"No",OR('Original Data'!M241=1,'Original Data'!M241="Yes",'Original Data'!M241=TRUE),"Yes")</f>
        <v>No</v>
      </c>
    </row>
    <row r="242" spans="1:13" x14ac:dyDescent="0.2">
      <c r="A242">
        <v>241</v>
      </c>
      <c r="B242" t="s">
        <v>81</v>
      </c>
      <c r="C242" s="5">
        <v>45250</v>
      </c>
      <c r="D242" t="s">
        <v>82</v>
      </c>
      <c r="E242" t="s">
        <v>15</v>
      </c>
      <c r="F242" t="s">
        <v>44</v>
      </c>
      <c r="H242">
        <v>4</v>
      </c>
      <c r="I242" s="7">
        <v>0</v>
      </c>
      <c r="J242">
        <v>319.8</v>
      </c>
      <c r="K242" t="str">
        <f>PROPER('Original Data'!K242)</f>
        <v>Gift Card</v>
      </c>
      <c r="L242" t="s">
        <v>41</v>
      </c>
      <c r="M242" t="str" cm="1">
        <f t="array" ref="M242">_xlfn.IFS(OR('Original Data'!M242=0,'Original Data'!M242="No",'Original Data'!M242=FALSE),"No",OR('Original Data'!M242=1,'Original Data'!M242="Yes",'Original Data'!M242=TRUE),"Yes")</f>
        <v>Yes</v>
      </c>
    </row>
    <row r="243" spans="1:13" x14ac:dyDescent="0.2">
      <c r="A243">
        <v>242</v>
      </c>
      <c r="B243" t="s">
        <v>78</v>
      </c>
      <c r="C243" s="5">
        <v>45299</v>
      </c>
      <c r="D243" t="s">
        <v>79</v>
      </c>
      <c r="E243" t="s">
        <v>48</v>
      </c>
      <c r="F243" t="s">
        <v>53</v>
      </c>
      <c r="G243" t="s">
        <v>54</v>
      </c>
      <c r="H243">
        <v>5</v>
      </c>
      <c r="I243" s="7">
        <v>0.05</v>
      </c>
      <c r="J243">
        <v>189.76</v>
      </c>
      <c r="K243" t="str">
        <f>PROPER('Original Data'!K243)</f>
        <v>Cash</v>
      </c>
      <c r="L243" t="s">
        <v>41</v>
      </c>
      <c r="M243" t="str" cm="1">
        <f t="array" ref="M243">_xlfn.IFS(OR('Original Data'!M243=0,'Original Data'!M243="No",'Original Data'!M243=FALSE),"No",OR('Original Data'!M243=1,'Original Data'!M243="Yes",'Original Data'!M243=TRUE),"Yes")</f>
        <v>Yes</v>
      </c>
    </row>
    <row r="244" spans="1:13" x14ac:dyDescent="0.2">
      <c r="A244">
        <v>243</v>
      </c>
      <c r="B244" t="s">
        <v>19</v>
      </c>
      <c r="C244" s="5">
        <v>45225</v>
      </c>
      <c r="D244" t="s">
        <v>20</v>
      </c>
      <c r="E244" t="s">
        <v>15</v>
      </c>
      <c r="F244" t="s">
        <v>16</v>
      </c>
      <c r="G244" t="s">
        <v>17</v>
      </c>
      <c r="H244">
        <v>1</v>
      </c>
      <c r="I244" s="7">
        <v>0.15</v>
      </c>
      <c r="J244">
        <v>76.459999999999994</v>
      </c>
      <c r="K244" t="str">
        <f>PROPER('Original Data'!K244)</f>
        <v>Apple Pay</v>
      </c>
      <c r="L244" t="s">
        <v>49</v>
      </c>
      <c r="M244" t="str" cm="1">
        <f t="array" ref="M244">_xlfn.IFS(OR('Original Data'!M244=0,'Original Data'!M244="No",'Original Data'!M244=FALSE),"No",OR('Original Data'!M244=1,'Original Data'!M244="Yes",'Original Data'!M244=TRUE),"Yes")</f>
        <v>Yes</v>
      </c>
    </row>
    <row r="245" spans="1:13" x14ac:dyDescent="0.2">
      <c r="A245">
        <v>244</v>
      </c>
      <c r="B245" t="s">
        <v>37</v>
      </c>
      <c r="C245" s="5">
        <v>45122</v>
      </c>
      <c r="D245" t="s">
        <v>38</v>
      </c>
      <c r="E245" t="s">
        <v>39</v>
      </c>
      <c r="F245" t="s">
        <v>34</v>
      </c>
      <c r="G245" t="s">
        <v>35</v>
      </c>
      <c r="H245">
        <v>1</v>
      </c>
      <c r="I245" s="7">
        <v>0.2</v>
      </c>
      <c r="J245">
        <v>51.96</v>
      </c>
      <c r="K245" t="str">
        <f>PROPER('Original Data'!K245)</f>
        <v>Gift Card</v>
      </c>
      <c r="L245" t="s">
        <v>63</v>
      </c>
      <c r="M245" t="str" cm="1">
        <f t="array" ref="M245">_xlfn.IFS(OR('Original Data'!M245=0,'Original Data'!M245="No",'Original Data'!M245=FALSE),"No",OR('Original Data'!M245=1,'Original Data'!M245="Yes",'Original Data'!M245=TRUE),"Yes")</f>
        <v>Yes</v>
      </c>
    </row>
    <row r="246" spans="1:13" x14ac:dyDescent="0.2">
      <c r="A246">
        <v>245</v>
      </c>
      <c r="B246" t="s">
        <v>83</v>
      </c>
      <c r="C246" s="5">
        <v>45421</v>
      </c>
      <c r="D246" t="s">
        <v>84</v>
      </c>
      <c r="E246" t="s">
        <v>48</v>
      </c>
      <c r="F246" t="s">
        <v>66</v>
      </c>
      <c r="G246" t="s">
        <v>67</v>
      </c>
      <c r="H246">
        <v>1</v>
      </c>
      <c r="I246" s="7">
        <v>0</v>
      </c>
      <c r="J246">
        <v>49.95</v>
      </c>
      <c r="K246" t="s">
        <v>90</v>
      </c>
      <c r="L246" t="s">
        <v>28</v>
      </c>
      <c r="M246" t="str" cm="1">
        <f t="array" ref="M246">_xlfn.IFS(OR('Original Data'!M246=0,'Original Data'!M246="No",'Original Data'!M246=FALSE),"No",OR('Original Data'!M246=1,'Original Data'!M246="Yes",'Original Data'!M246=TRUE),"Yes")</f>
        <v>No</v>
      </c>
    </row>
    <row r="247" spans="1:13" x14ac:dyDescent="0.2">
      <c r="A247">
        <v>246</v>
      </c>
      <c r="B247" t="s">
        <v>78</v>
      </c>
      <c r="C247" s="5">
        <v>45334</v>
      </c>
      <c r="D247" t="s">
        <v>79</v>
      </c>
      <c r="E247" t="s">
        <v>48</v>
      </c>
      <c r="F247" t="s">
        <v>40</v>
      </c>
      <c r="G247" t="s">
        <v>17</v>
      </c>
      <c r="H247">
        <v>4</v>
      </c>
      <c r="I247" s="7">
        <v>0.2</v>
      </c>
      <c r="J247">
        <v>127.84</v>
      </c>
      <c r="K247" t="str">
        <f>PROPER('Original Data'!K247)</f>
        <v>Cash</v>
      </c>
      <c r="L247" t="s">
        <v>63</v>
      </c>
      <c r="M247" t="str" cm="1">
        <f t="array" ref="M247">_xlfn.IFS(OR('Original Data'!M247=0,'Original Data'!M247="No",'Original Data'!M247=FALSE),"No",OR('Original Data'!M247=1,'Original Data'!M247="Yes",'Original Data'!M247=TRUE),"Yes")</f>
        <v>Yes</v>
      </c>
    </row>
    <row r="248" spans="1:13" x14ac:dyDescent="0.2">
      <c r="A248">
        <v>247</v>
      </c>
      <c r="B248" t="s">
        <v>56</v>
      </c>
      <c r="C248" s="5">
        <v>45224</v>
      </c>
      <c r="D248" t="s">
        <v>57</v>
      </c>
      <c r="E248" t="s">
        <v>48</v>
      </c>
      <c r="F248" t="s">
        <v>40</v>
      </c>
      <c r="G248" t="s">
        <v>17</v>
      </c>
      <c r="H248">
        <v>2</v>
      </c>
      <c r="I248" s="7">
        <v>0.05</v>
      </c>
      <c r="J248">
        <v>161.5</v>
      </c>
      <c r="K248" t="s">
        <v>90</v>
      </c>
      <c r="L248" t="s">
        <v>63</v>
      </c>
      <c r="M248" t="str" cm="1">
        <f t="array" ref="M248">_xlfn.IFS(OR('Original Data'!M248=0,'Original Data'!M248="No",'Original Data'!M248=FALSE),"No",OR('Original Data'!M248=1,'Original Data'!M248="Yes",'Original Data'!M248=TRUE),"Yes")</f>
        <v>Yes</v>
      </c>
    </row>
    <row r="249" spans="1:13" x14ac:dyDescent="0.2">
      <c r="A249">
        <v>248</v>
      </c>
      <c r="B249" t="s">
        <v>68</v>
      </c>
      <c r="C249" s="5">
        <v>45473</v>
      </c>
      <c r="D249" t="str">
        <f>VLOOKUP(B249,'Original Data'!B:D,3,FALSE)</f>
        <v xml:space="preserve">Ankle Boots  </v>
      </c>
      <c r="E249" t="str">
        <f>_xlfn.XLOOKUP('Cleaned Data'!B661,'Original Data'!B:B,'Original Data'!E:E)</f>
        <v>GAP</v>
      </c>
      <c r="F249" t="s">
        <v>16</v>
      </c>
      <c r="G249" t="s">
        <v>17</v>
      </c>
      <c r="H249">
        <v>5</v>
      </c>
      <c r="I249" s="7">
        <v>0.25</v>
      </c>
      <c r="J249">
        <v>446.25</v>
      </c>
      <c r="K249" t="str">
        <f>PROPER('Original Data'!K249)</f>
        <v>Apple Pay</v>
      </c>
      <c r="M249" t="s">
        <v>92</v>
      </c>
    </row>
    <row r="250" spans="1:13" x14ac:dyDescent="0.2">
      <c r="A250">
        <v>249</v>
      </c>
      <c r="B250" t="s">
        <v>50</v>
      </c>
      <c r="C250" s="5">
        <v>45229</v>
      </c>
      <c r="D250" t="s">
        <v>51</v>
      </c>
      <c r="E250" t="s">
        <v>15</v>
      </c>
      <c r="F250" t="s">
        <v>66</v>
      </c>
      <c r="G250" t="s">
        <v>67</v>
      </c>
      <c r="H250">
        <v>3</v>
      </c>
      <c r="I250" s="7">
        <v>0</v>
      </c>
      <c r="J250">
        <v>209.85</v>
      </c>
      <c r="K250" t="str">
        <f>PROPER('Original Data'!K250)</f>
        <v>Apple Pay</v>
      </c>
      <c r="L250" t="s">
        <v>23</v>
      </c>
      <c r="M250" t="str" cm="1">
        <f t="array" ref="M250">_xlfn.IFS(OR('Original Data'!M250=0,'Original Data'!M250="No",'Original Data'!M250=FALSE),"No",OR('Original Data'!M250=1,'Original Data'!M250="Yes",'Original Data'!M250=TRUE),"Yes")</f>
        <v>No</v>
      </c>
    </row>
    <row r="251" spans="1:13" x14ac:dyDescent="0.2">
      <c r="A251">
        <v>250</v>
      </c>
      <c r="B251" t="s">
        <v>19</v>
      </c>
      <c r="C251" s="5">
        <v>45323</v>
      </c>
      <c r="D251" t="s">
        <v>20</v>
      </c>
      <c r="E251" t="s">
        <v>15</v>
      </c>
      <c r="F251" t="s">
        <v>21</v>
      </c>
      <c r="G251" t="s">
        <v>22</v>
      </c>
      <c r="H251">
        <v>5</v>
      </c>
      <c r="I251" s="7">
        <v>0.1</v>
      </c>
      <c r="J251">
        <v>404.78</v>
      </c>
      <c r="K251" t="str">
        <f>PROPER('Original Data'!K251)</f>
        <v>Gift Card</v>
      </c>
      <c r="L251" t="s">
        <v>23</v>
      </c>
      <c r="M251" t="str" cm="1">
        <f t="array" ref="M251">_xlfn.IFS(OR('Original Data'!M251=0,'Original Data'!M251="No",'Original Data'!M251=FALSE),"No",OR('Original Data'!M251=1,'Original Data'!M251="Yes",'Original Data'!M251=TRUE),"Yes")</f>
        <v>Yes</v>
      </c>
    </row>
    <row r="252" spans="1:13" x14ac:dyDescent="0.2">
      <c r="A252">
        <v>251</v>
      </c>
      <c r="B252" t="s">
        <v>19</v>
      </c>
      <c r="C252" s="5">
        <v>45386</v>
      </c>
      <c r="D252" t="s">
        <v>20</v>
      </c>
      <c r="E252" t="s">
        <v>15</v>
      </c>
      <c r="F252" t="s">
        <v>44</v>
      </c>
      <c r="H252">
        <v>3</v>
      </c>
      <c r="I252" s="7">
        <v>0.05</v>
      </c>
      <c r="J252">
        <v>256.36</v>
      </c>
      <c r="K252" t="str">
        <f>PROPER('Original Data'!K252)</f>
        <v>Cash</v>
      </c>
      <c r="M252" t="str" cm="1">
        <f t="array" ref="M252">_xlfn.IFS(OR('Original Data'!M252=0,'Original Data'!M252="No",'Original Data'!M252=FALSE),"No",OR('Original Data'!M252=1,'Original Data'!M252="Yes",'Original Data'!M252=TRUE),"Yes")</f>
        <v>Yes</v>
      </c>
    </row>
    <row r="253" spans="1:13" x14ac:dyDescent="0.2">
      <c r="A253">
        <v>252</v>
      </c>
      <c r="B253" t="s">
        <v>61</v>
      </c>
      <c r="C253" s="5">
        <v>45404</v>
      </c>
      <c r="D253" t="s">
        <v>62</v>
      </c>
      <c r="E253" t="s">
        <v>33</v>
      </c>
      <c r="F253" t="s">
        <v>53</v>
      </c>
      <c r="G253" t="s">
        <v>54</v>
      </c>
      <c r="H253">
        <v>2</v>
      </c>
      <c r="I253" s="7">
        <v>0.1</v>
      </c>
      <c r="J253">
        <v>62.98</v>
      </c>
      <c r="K253" t="str">
        <f>PROPER('Original Data'!K253)</f>
        <v>Cash</v>
      </c>
      <c r="L253" t="s">
        <v>23</v>
      </c>
      <c r="M253" t="str" cm="1">
        <f t="array" ref="M253">_xlfn.IFS(OR('Original Data'!M253=0,'Original Data'!M253="No",'Original Data'!M253=FALSE),"No",OR('Original Data'!M253=1,'Original Data'!M253="Yes",'Original Data'!M253=TRUE),"Yes")</f>
        <v>No</v>
      </c>
    </row>
    <row r="254" spans="1:13" x14ac:dyDescent="0.2">
      <c r="A254">
        <v>253</v>
      </c>
      <c r="B254" t="s">
        <v>83</v>
      </c>
      <c r="C254" s="5">
        <v>45252</v>
      </c>
      <c r="D254" t="s">
        <v>84</v>
      </c>
      <c r="E254" t="s">
        <v>48</v>
      </c>
      <c r="F254" t="s">
        <v>53</v>
      </c>
      <c r="G254" t="s">
        <v>54</v>
      </c>
      <c r="H254">
        <v>5</v>
      </c>
      <c r="I254" s="7">
        <v>0.15</v>
      </c>
      <c r="J254">
        <v>212.29</v>
      </c>
      <c r="K254" t="str">
        <f>PROPER('Original Data'!K254)</f>
        <v>Apple Pay</v>
      </c>
      <c r="L254" t="s">
        <v>55</v>
      </c>
      <c r="M254" t="str" cm="1">
        <f t="array" ref="M254">_xlfn.IFS(OR('Original Data'!M254=0,'Original Data'!M254="No",'Original Data'!M254=FALSE),"No",OR('Original Data'!M254=1,'Original Data'!M254="Yes",'Original Data'!M254=TRUE),"Yes")</f>
        <v>No</v>
      </c>
    </row>
    <row r="255" spans="1:13" x14ac:dyDescent="0.2">
      <c r="A255">
        <v>254</v>
      </c>
      <c r="B255" t="s">
        <v>88</v>
      </c>
      <c r="C255" s="5">
        <v>45560</v>
      </c>
      <c r="D255" t="s">
        <v>89</v>
      </c>
      <c r="E255" t="s">
        <v>33</v>
      </c>
      <c r="F255" t="s">
        <v>34</v>
      </c>
      <c r="G255" t="s">
        <v>35</v>
      </c>
      <c r="H255">
        <v>3</v>
      </c>
      <c r="I255" s="7">
        <v>0.15</v>
      </c>
      <c r="J255">
        <v>504.9</v>
      </c>
      <c r="K255" t="str">
        <f>PROPER('Original Data'!K255)</f>
        <v>Debit Card</v>
      </c>
      <c r="L255" t="s">
        <v>30</v>
      </c>
      <c r="M255" t="str" cm="1">
        <f t="array" ref="M255">_xlfn.IFS(OR('Original Data'!M255=0,'Original Data'!M255="No",'Original Data'!M255=FALSE),"No",OR('Original Data'!M255=1,'Original Data'!M255="Yes",'Original Data'!M255=TRUE),"Yes")</f>
        <v>No</v>
      </c>
    </row>
    <row r="256" spans="1:13" x14ac:dyDescent="0.2">
      <c r="A256">
        <v>255</v>
      </c>
      <c r="B256" t="s">
        <v>58</v>
      </c>
      <c r="C256" s="5">
        <v>45189</v>
      </c>
      <c r="D256" t="s">
        <v>59</v>
      </c>
      <c r="E256" t="s">
        <v>15</v>
      </c>
      <c r="F256" t="s">
        <v>34</v>
      </c>
      <c r="G256" t="s">
        <v>35</v>
      </c>
      <c r="H256">
        <v>3</v>
      </c>
      <c r="I256" s="7">
        <v>0.2</v>
      </c>
      <c r="J256">
        <v>143.88</v>
      </c>
      <c r="K256" t="str">
        <f>PROPER('Original Data'!K256)</f>
        <v>Gift Card</v>
      </c>
      <c r="L256" t="s">
        <v>55</v>
      </c>
      <c r="M256" t="str" cm="1">
        <f t="array" ref="M256">_xlfn.IFS(OR('Original Data'!M256=0,'Original Data'!M256="No",'Original Data'!M256=FALSE),"No",OR('Original Data'!M256=1,'Original Data'!M256="Yes",'Original Data'!M256=TRUE),"Yes")</f>
        <v>Yes</v>
      </c>
    </row>
    <row r="257" spans="1:13" x14ac:dyDescent="0.2">
      <c r="A257">
        <v>256</v>
      </c>
      <c r="B257" t="s">
        <v>37</v>
      </c>
      <c r="C257" s="5">
        <v>45477</v>
      </c>
      <c r="D257" t="s">
        <v>38</v>
      </c>
      <c r="E257" t="s">
        <v>39</v>
      </c>
      <c r="G257" t="s">
        <v>25</v>
      </c>
      <c r="H257">
        <v>3</v>
      </c>
      <c r="I257" s="7">
        <v>0</v>
      </c>
      <c r="J257">
        <v>194.85</v>
      </c>
      <c r="K257" t="str">
        <f>PROPER('Original Data'!K257)</f>
        <v>Debit Card</v>
      </c>
      <c r="L257" t="s">
        <v>55</v>
      </c>
      <c r="M257" t="str" cm="1">
        <f t="array" ref="M257">_xlfn.IFS(OR('Original Data'!M257=0,'Original Data'!M257="No",'Original Data'!M257=FALSE),"No",OR('Original Data'!M257=1,'Original Data'!M257="Yes",'Original Data'!M257=TRUE),"Yes")</f>
        <v>Yes</v>
      </c>
    </row>
    <row r="258" spans="1:13" x14ac:dyDescent="0.2">
      <c r="A258">
        <v>257</v>
      </c>
      <c r="B258" t="s">
        <v>42</v>
      </c>
      <c r="C258" s="5">
        <v>45266</v>
      </c>
      <c r="D258" t="s">
        <v>91</v>
      </c>
      <c r="E258" t="s">
        <v>15</v>
      </c>
      <c r="F258" t="s">
        <v>21</v>
      </c>
      <c r="G258" t="s">
        <v>22</v>
      </c>
      <c r="H258">
        <v>2</v>
      </c>
      <c r="I258" s="7">
        <v>0</v>
      </c>
      <c r="J258">
        <v>258</v>
      </c>
      <c r="K258" t="str">
        <f>PROPER('Original Data'!K258)</f>
        <v>Apple Pay</v>
      </c>
      <c r="L258" t="s">
        <v>41</v>
      </c>
      <c r="M258" t="str" cm="1">
        <f t="array" ref="M258">_xlfn.IFS(OR('Original Data'!M258=0,'Original Data'!M258="No",'Original Data'!M258=FALSE),"No",OR('Original Data'!M258=1,'Original Data'!M258="Yes",'Original Data'!M258=TRUE),"Yes")</f>
        <v>Yes</v>
      </c>
    </row>
    <row r="259" spans="1:13" x14ac:dyDescent="0.2">
      <c r="A259">
        <v>258</v>
      </c>
      <c r="B259" t="s">
        <v>24</v>
      </c>
      <c r="C259" s="5">
        <v>45325</v>
      </c>
      <c r="D259" t="s">
        <v>87</v>
      </c>
      <c r="E259" t="s">
        <v>39</v>
      </c>
      <c r="F259" t="s">
        <v>21</v>
      </c>
      <c r="G259" t="s">
        <v>22</v>
      </c>
      <c r="H259">
        <v>4</v>
      </c>
      <c r="I259" s="7">
        <v>0.2</v>
      </c>
      <c r="J259">
        <v>143.84</v>
      </c>
      <c r="K259" t="str">
        <f>PROPER('Original Data'!K259)</f>
        <v>Credit Card</v>
      </c>
      <c r="M259" t="str" cm="1">
        <f t="array" ref="M259">_xlfn.IFS(OR('Original Data'!M259=0,'Original Data'!M259="No",'Original Data'!M259=FALSE),"No",OR('Original Data'!M259=1,'Original Data'!M259="Yes",'Original Data'!M259=TRUE),"Yes")</f>
        <v>Yes</v>
      </c>
    </row>
    <row r="260" spans="1:13" x14ac:dyDescent="0.2">
      <c r="A260">
        <v>259</v>
      </c>
      <c r="B260" t="s">
        <v>78</v>
      </c>
      <c r="C260" s="5">
        <v>45015</v>
      </c>
      <c r="D260" t="s">
        <v>79</v>
      </c>
      <c r="E260" t="s">
        <v>48</v>
      </c>
      <c r="F260" t="s">
        <v>40</v>
      </c>
      <c r="G260" t="s">
        <v>17</v>
      </c>
      <c r="H260">
        <v>1</v>
      </c>
      <c r="I260" s="7">
        <v>0.1</v>
      </c>
      <c r="J260">
        <v>35.96</v>
      </c>
      <c r="K260" t="s">
        <v>90</v>
      </c>
      <c r="L260" t="s">
        <v>30</v>
      </c>
      <c r="M260" t="str" cm="1">
        <f t="array" ref="M260">_xlfn.IFS(OR('Original Data'!M260=0,'Original Data'!M260="No",'Original Data'!M260=FALSE),"No",OR('Original Data'!M260=1,'Original Data'!M260="Yes",'Original Data'!M260=TRUE),"Yes")</f>
        <v>Yes</v>
      </c>
    </row>
    <row r="261" spans="1:13" x14ac:dyDescent="0.2">
      <c r="A261">
        <v>260</v>
      </c>
      <c r="B261" t="s">
        <v>61</v>
      </c>
      <c r="C261" s="5">
        <v>45495</v>
      </c>
      <c r="D261" t="s">
        <v>62</v>
      </c>
      <c r="E261" t="s">
        <v>33</v>
      </c>
      <c r="F261" t="s">
        <v>53</v>
      </c>
      <c r="G261" t="s">
        <v>54</v>
      </c>
      <c r="H261">
        <v>3</v>
      </c>
      <c r="I261" s="7">
        <v>0.15</v>
      </c>
      <c r="J261">
        <v>89.22</v>
      </c>
      <c r="K261" t="s">
        <v>90</v>
      </c>
      <c r="L261" t="s">
        <v>23</v>
      </c>
      <c r="M261" t="str" cm="1">
        <f t="array" ref="M261">_xlfn.IFS(OR('Original Data'!M261=0,'Original Data'!M261="No",'Original Data'!M261=FALSE),"No",OR('Original Data'!M261=1,'Original Data'!M261="Yes",'Original Data'!M261=TRUE),"Yes")</f>
        <v>No</v>
      </c>
    </row>
    <row r="262" spans="1:13" x14ac:dyDescent="0.2">
      <c r="A262">
        <v>261</v>
      </c>
      <c r="B262" t="s">
        <v>37</v>
      </c>
      <c r="C262" s="5">
        <v>45153</v>
      </c>
      <c r="D262" t="s">
        <v>38</v>
      </c>
      <c r="E262" t="s">
        <v>39</v>
      </c>
      <c r="F262" t="s">
        <v>40</v>
      </c>
      <c r="G262" t="s">
        <v>17</v>
      </c>
      <c r="H262">
        <v>4</v>
      </c>
      <c r="I262" s="7">
        <v>0</v>
      </c>
      <c r="J262">
        <v>259.8</v>
      </c>
      <c r="K262" t="str">
        <f>PROPER('Original Data'!K262)</f>
        <v>Debit Card</v>
      </c>
      <c r="L262" t="s">
        <v>45</v>
      </c>
      <c r="M262" t="str" cm="1">
        <f t="array" ref="M262">_xlfn.IFS(OR('Original Data'!M262=0,'Original Data'!M262="No",'Original Data'!M262=FALSE),"No",OR('Original Data'!M262=1,'Original Data'!M262="Yes",'Original Data'!M262=TRUE),"Yes")</f>
        <v>Yes</v>
      </c>
    </row>
    <row r="263" spans="1:13" x14ac:dyDescent="0.2">
      <c r="A263">
        <v>262</v>
      </c>
      <c r="B263" t="s">
        <v>56</v>
      </c>
      <c r="C263" s="5">
        <v>45027</v>
      </c>
      <c r="D263" t="s">
        <v>57</v>
      </c>
      <c r="E263" t="s">
        <v>48</v>
      </c>
      <c r="F263" t="s">
        <v>44</v>
      </c>
      <c r="H263">
        <v>1</v>
      </c>
      <c r="I263" s="7">
        <v>0.1</v>
      </c>
      <c r="J263">
        <v>76.5</v>
      </c>
      <c r="K263" t="str">
        <f>PROPER('Original Data'!K263)</f>
        <v>Cash</v>
      </c>
      <c r="L263" t="s">
        <v>55</v>
      </c>
      <c r="M263" t="str" cm="1">
        <f t="array" ref="M263">_xlfn.IFS(OR('Original Data'!M263=0,'Original Data'!M263="No",'Original Data'!M263=FALSE),"No",OR('Original Data'!M263=1,'Original Data'!M263="Yes",'Original Data'!M263=TRUE),"Yes")</f>
        <v>Yes</v>
      </c>
    </row>
    <row r="264" spans="1:13" x14ac:dyDescent="0.2">
      <c r="A264">
        <v>263</v>
      </c>
      <c r="B264" t="s">
        <v>83</v>
      </c>
      <c r="C264" s="5">
        <v>45525</v>
      </c>
      <c r="D264" t="s">
        <v>84</v>
      </c>
      <c r="E264" t="s">
        <v>48</v>
      </c>
      <c r="F264" t="s">
        <v>40</v>
      </c>
      <c r="G264" t="s">
        <v>17</v>
      </c>
      <c r="H264">
        <v>4</v>
      </c>
      <c r="I264" s="7">
        <v>0.15</v>
      </c>
      <c r="J264">
        <v>169.83</v>
      </c>
      <c r="K264" t="str">
        <f>PROPER('Original Data'!K264)</f>
        <v>Apple Pay</v>
      </c>
      <c r="L264" t="s">
        <v>30</v>
      </c>
      <c r="M264" t="str" cm="1">
        <f t="array" ref="M264">_xlfn.IFS(OR('Original Data'!M264=0,'Original Data'!M264="No",'Original Data'!M264=FALSE),"No",OR('Original Data'!M264=1,'Original Data'!M264="Yes",'Original Data'!M264=TRUE),"Yes")</f>
        <v>No</v>
      </c>
    </row>
    <row r="265" spans="1:13" x14ac:dyDescent="0.2">
      <c r="A265">
        <v>264</v>
      </c>
      <c r="B265" t="s">
        <v>64</v>
      </c>
      <c r="C265" s="5">
        <v>45400</v>
      </c>
      <c r="D265" t="s">
        <v>65</v>
      </c>
      <c r="E265" t="s">
        <v>33</v>
      </c>
      <c r="F265" t="s">
        <v>21</v>
      </c>
      <c r="G265" t="s">
        <v>22</v>
      </c>
      <c r="H265">
        <v>3</v>
      </c>
      <c r="I265" s="7">
        <v>0</v>
      </c>
      <c r="J265">
        <v>224.85</v>
      </c>
      <c r="K265" t="str">
        <f>PROPER('Original Data'!K265)</f>
        <v>Gift Card</v>
      </c>
      <c r="L265" t="s">
        <v>49</v>
      </c>
      <c r="M265" t="str" cm="1">
        <f t="array" ref="M265">_xlfn.IFS(OR('Original Data'!M265=0,'Original Data'!M265="No",'Original Data'!M265=FALSE),"No",OR('Original Data'!M265=1,'Original Data'!M265="Yes",'Original Data'!M265=TRUE),"Yes")</f>
        <v>No</v>
      </c>
    </row>
    <row r="266" spans="1:13" x14ac:dyDescent="0.2">
      <c r="A266">
        <v>265</v>
      </c>
      <c r="B266" t="s">
        <v>64</v>
      </c>
      <c r="C266" s="5">
        <v>45573</v>
      </c>
      <c r="D266" t="s">
        <v>65</v>
      </c>
      <c r="E266" t="s">
        <v>33</v>
      </c>
      <c r="F266" t="s">
        <v>34</v>
      </c>
      <c r="G266" t="s">
        <v>35</v>
      </c>
      <c r="H266">
        <v>1</v>
      </c>
      <c r="I266" s="7">
        <v>0</v>
      </c>
      <c r="J266">
        <v>74.95</v>
      </c>
      <c r="K266" t="s">
        <v>90</v>
      </c>
      <c r="L266" t="s">
        <v>23</v>
      </c>
      <c r="M266" t="str" cm="1">
        <f t="array" ref="M266">_xlfn.IFS(OR('Original Data'!M266=0,'Original Data'!M266="No",'Original Data'!M266=FALSE),"No",OR('Original Data'!M266=1,'Original Data'!M266="Yes",'Original Data'!M266=TRUE),"Yes")</f>
        <v>No</v>
      </c>
    </row>
    <row r="267" spans="1:13" x14ac:dyDescent="0.2">
      <c r="A267">
        <v>266</v>
      </c>
      <c r="B267" t="s">
        <v>68</v>
      </c>
      <c r="C267" s="5">
        <v>45402</v>
      </c>
      <c r="D267" t="s">
        <v>69</v>
      </c>
      <c r="E267" t="s">
        <v>33</v>
      </c>
      <c r="F267" t="s">
        <v>66</v>
      </c>
      <c r="G267" t="s">
        <v>67</v>
      </c>
      <c r="H267">
        <v>4</v>
      </c>
      <c r="I267" s="7">
        <v>0.05</v>
      </c>
      <c r="J267">
        <v>452.2</v>
      </c>
      <c r="K267" t="str">
        <f>PROPER('Original Data'!K267)</f>
        <v>Debit Card</v>
      </c>
      <c r="L267" t="s">
        <v>30</v>
      </c>
      <c r="M267" t="str" cm="1">
        <f t="array" ref="M267">_xlfn.IFS(OR('Original Data'!M267=0,'Original Data'!M267="No",'Original Data'!M267=FALSE),"No",OR('Original Data'!M267=1,'Original Data'!M267="Yes",'Original Data'!M267=TRUE),"Yes")</f>
        <v>No</v>
      </c>
    </row>
    <row r="268" spans="1:13" x14ac:dyDescent="0.2">
      <c r="A268">
        <v>267</v>
      </c>
      <c r="B268" t="s">
        <v>24</v>
      </c>
      <c r="C268" s="5">
        <v>45422</v>
      </c>
      <c r="D268" t="s">
        <v>87</v>
      </c>
      <c r="E268" t="s">
        <v>39</v>
      </c>
      <c r="G268" t="s">
        <v>25</v>
      </c>
      <c r="H268">
        <v>2</v>
      </c>
      <c r="I268" s="7">
        <v>0</v>
      </c>
      <c r="J268">
        <v>89.9</v>
      </c>
      <c r="K268" t="str">
        <f>PROPER('Original Data'!K268)</f>
        <v>Apple Pay</v>
      </c>
      <c r="L268" t="s">
        <v>45</v>
      </c>
      <c r="M268" t="str" cm="1">
        <f t="array" ref="M268">_xlfn.IFS(OR('Original Data'!M268=0,'Original Data'!M268="No",'Original Data'!M268=FALSE),"No",OR('Original Data'!M268=1,'Original Data'!M268="Yes",'Original Data'!M268=TRUE),"Yes")</f>
        <v>Yes</v>
      </c>
    </row>
    <row r="269" spans="1:13" x14ac:dyDescent="0.2">
      <c r="A269">
        <v>268</v>
      </c>
      <c r="B269" t="s">
        <v>83</v>
      </c>
      <c r="C269" s="5">
        <v>45258</v>
      </c>
      <c r="D269" t="s">
        <v>84</v>
      </c>
      <c r="E269" t="s">
        <v>48</v>
      </c>
      <c r="F269" t="s">
        <v>21</v>
      </c>
      <c r="G269" t="s">
        <v>22</v>
      </c>
      <c r="H269">
        <v>4</v>
      </c>
      <c r="I269" s="7">
        <v>0</v>
      </c>
      <c r="J269">
        <v>199.8</v>
      </c>
      <c r="K269" t="str">
        <f>PROPER('Original Data'!K269)</f>
        <v>Apple Pay</v>
      </c>
      <c r="L269" t="s">
        <v>23</v>
      </c>
      <c r="M269" t="str" cm="1">
        <f t="array" ref="M269">_xlfn.IFS(OR('Original Data'!M269=0,'Original Data'!M269="No",'Original Data'!M269=FALSE),"No",OR('Original Data'!M269=1,'Original Data'!M269="Yes",'Original Data'!M269=TRUE),"Yes")</f>
        <v>No</v>
      </c>
    </row>
    <row r="270" spans="1:13" x14ac:dyDescent="0.2">
      <c r="A270">
        <v>269</v>
      </c>
      <c r="B270" t="s">
        <v>81</v>
      </c>
      <c r="C270" s="5">
        <v>45455</v>
      </c>
      <c r="D270" t="s">
        <v>82</v>
      </c>
      <c r="E270" t="s">
        <v>15</v>
      </c>
      <c r="F270" t="s">
        <v>40</v>
      </c>
      <c r="G270" t="s">
        <v>17</v>
      </c>
      <c r="H270">
        <v>1</v>
      </c>
      <c r="I270" s="7">
        <v>0.1</v>
      </c>
      <c r="J270">
        <v>71.959999999999994</v>
      </c>
      <c r="K270" t="str">
        <f>PROPER('Original Data'!K270)</f>
        <v>Debit Card</v>
      </c>
      <c r="L270" t="s">
        <v>28</v>
      </c>
      <c r="M270" t="str" cm="1">
        <f t="array" ref="M270">_xlfn.IFS(OR('Original Data'!M270=0,'Original Data'!M270="No",'Original Data'!M270=FALSE),"No",OR('Original Data'!M270=1,'Original Data'!M270="Yes",'Original Data'!M270=TRUE),"Yes")</f>
        <v>Yes</v>
      </c>
    </row>
    <row r="271" spans="1:13" x14ac:dyDescent="0.2">
      <c r="A271">
        <v>270</v>
      </c>
      <c r="B271" t="s">
        <v>78</v>
      </c>
      <c r="C271" s="5">
        <v>45088</v>
      </c>
      <c r="D271" t="s">
        <v>79</v>
      </c>
      <c r="E271" t="s">
        <v>48</v>
      </c>
      <c r="F271" t="s">
        <v>16</v>
      </c>
      <c r="G271" t="s">
        <v>17</v>
      </c>
      <c r="H271">
        <v>3</v>
      </c>
      <c r="I271" s="7">
        <v>0.05</v>
      </c>
      <c r="J271">
        <v>113.86</v>
      </c>
      <c r="K271" t="str">
        <f>PROPER('Original Data'!K271)</f>
        <v>Debit Card</v>
      </c>
      <c r="L271" t="s">
        <v>45</v>
      </c>
      <c r="M271" t="str" cm="1">
        <f t="array" ref="M271">_xlfn.IFS(OR('Original Data'!M271=0,'Original Data'!M271="No",'Original Data'!M271=FALSE),"No",OR('Original Data'!M271=1,'Original Data'!M271="Yes",'Original Data'!M271=TRUE),"Yes")</f>
        <v>Yes</v>
      </c>
    </row>
    <row r="272" spans="1:13" x14ac:dyDescent="0.2">
      <c r="A272">
        <v>271</v>
      </c>
      <c r="B272" t="s">
        <v>85</v>
      </c>
      <c r="C272" s="5">
        <v>45514</v>
      </c>
      <c r="D272" t="s">
        <v>86</v>
      </c>
      <c r="E272" t="s">
        <v>76</v>
      </c>
      <c r="F272" t="s">
        <v>66</v>
      </c>
      <c r="G272" t="s">
        <v>67</v>
      </c>
      <c r="H272">
        <v>1</v>
      </c>
      <c r="I272" s="7">
        <v>0.05</v>
      </c>
      <c r="J272">
        <v>85.45</v>
      </c>
      <c r="K272" t="str">
        <f>PROPER('Original Data'!K272)</f>
        <v>Debit Card</v>
      </c>
      <c r="L272" t="s">
        <v>23</v>
      </c>
      <c r="M272" t="str" cm="1">
        <f t="array" ref="M272">_xlfn.IFS(OR('Original Data'!M272=0,'Original Data'!M272="No",'Original Data'!M272=FALSE),"No",OR('Original Data'!M272=1,'Original Data'!M272="Yes",'Original Data'!M272=TRUE),"Yes")</f>
        <v>Yes</v>
      </c>
    </row>
    <row r="273" spans="1:13" x14ac:dyDescent="0.2">
      <c r="A273">
        <v>272</v>
      </c>
      <c r="B273" t="s">
        <v>50</v>
      </c>
      <c r="C273" s="5">
        <v>45409</v>
      </c>
      <c r="D273" t="s">
        <v>51</v>
      </c>
      <c r="E273" t="s">
        <v>15</v>
      </c>
      <c r="F273" t="s">
        <v>26</v>
      </c>
      <c r="G273" t="s">
        <v>22</v>
      </c>
      <c r="H273">
        <v>1</v>
      </c>
      <c r="I273" s="7">
        <v>0.05</v>
      </c>
      <c r="J273">
        <v>66.45</v>
      </c>
      <c r="K273" t="s">
        <v>90</v>
      </c>
      <c r="L273" t="s">
        <v>41</v>
      </c>
      <c r="M273" t="str" cm="1">
        <f t="array" ref="M273">_xlfn.IFS(OR('Original Data'!M273=0,'Original Data'!M273="No",'Original Data'!M273=FALSE),"No",OR('Original Data'!M273=1,'Original Data'!M273="Yes",'Original Data'!M273=TRUE),"Yes")</f>
        <v>No</v>
      </c>
    </row>
    <row r="274" spans="1:13" x14ac:dyDescent="0.2">
      <c r="A274">
        <v>273</v>
      </c>
      <c r="B274" t="s">
        <v>24</v>
      </c>
      <c r="C274" s="5">
        <v>45321</v>
      </c>
      <c r="D274" t="s">
        <v>87</v>
      </c>
      <c r="E274" t="s">
        <v>39</v>
      </c>
      <c r="F274" t="s">
        <v>40</v>
      </c>
      <c r="G274" t="s">
        <v>17</v>
      </c>
      <c r="H274">
        <v>5</v>
      </c>
      <c r="I274" s="7">
        <v>0</v>
      </c>
      <c r="J274">
        <v>224.75</v>
      </c>
      <c r="K274" t="str">
        <f>PROPER('Original Data'!K274)</f>
        <v>Gift Card</v>
      </c>
      <c r="L274" t="s">
        <v>63</v>
      </c>
      <c r="M274" t="str" cm="1">
        <f t="array" ref="M274">_xlfn.IFS(OR('Original Data'!M274=0,'Original Data'!M274="No",'Original Data'!M274=FALSE),"No",OR('Original Data'!M274=1,'Original Data'!M274="Yes",'Original Data'!M274=TRUE),"Yes")</f>
        <v>Yes</v>
      </c>
    </row>
    <row r="275" spans="1:13" x14ac:dyDescent="0.2">
      <c r="A275">
        <v>274</v>
      </c>
      <c r="B275" t="s">
        <v>56</v>
      </c>
      <c r="C275" s="5">
        <v>45602</v>
      </c>
      <c r="D275" t="s">
        <v>57</v>
      </c>
      <c r="E275" t="s">
        <v>48</v>
      </c>
      <c r="F275" t="s">
        <v>26</v>
      </c>
      <c r="G275" t="s">
        <v>22</v>
      </c>
      <c r="H275">
        <v>5</v>
      </c>
      <c r="I275" s="7">
        <v>0</v>
      </c>
      <c r="J275">
        <v>425</v>
      </c>
      <c r="K275" t="str">
        <f>PROPER('Original Data'!K275)</f>
        <v>Gift Card</v>
      </c>
      <c r="L275" t="s">
        <v>55</v>
      </c>
      <c r="M275" t="str" cm="1">
        <f t="array" ref="M275">_xlfn.IFS(OR('Original Data'!M275=0,'Original Data'!M275="No",'Original Data'!M275=FALSE),"No",OR('Original Data'!M275=1,'Original Data'!M275="Yes",'Original Data'!M275=TRUE),"Yes")</f>
        <v>Yes</v>
      </c>
    </row>
    <row r="276" spans="1:13" x14ac:dyDescent="0.2">
      <c r="A276">
        <v>275</v>
      </c>
      <c r="B276" t="s">
        <v>19</v>
      </c>
      <c r="C276" s="5">
        <v>45640</v>
      </c>
      <c r="D276" t="s">
        <v>20</v>
      </c>
      <c r="E276" t="s">
        <v>15</v>
      </c>
      <c r="F276" t="s">
        <v>21</v>
      </c>
      <c r="G276" t="s">
        <v>22</v>
      </c>
      <c r="H276">
        <v>4</v>
      </c>
      <c r="I276" s="7">
        <v>0.2</v>
      </c>
      <c r="J276">
        <v>287.83999999999997</v>
      </c>
      <c r="K276" t="s">
        <v>90</v>
      </c>
      <c r="L276" t="s">
        <v>49</v>
      </c>
      <c r="M276" t="str" cm="1">
        <f t="array" ref="M276">_xlfn.IFS(OR('Original Data'!M276=0,'Original Data'!M276="No",'Original Data'!M276=FALSE),"No",OR('Original Data'!M276=1,'Original Data'!M276="Yes",'Original Data'!M276=TRUE),"Yes")</f>
        <v>Yes</v>
      </c>
    </row>
    <row r="277" spans="1:13" x14ac:dyDescent="0.2">
      <c r="A277">
        <v>276</v>
      </c>
      <c r="B277" t="s">
        <v>64</v>
      </c>
      <c r="C277" s="5">
        <v>45462</v>
      </c>
      <c r="D277" t="s">
        <v>65</v>
      </c>
      <c r="E277" t="s">
        <v>33</v>
      </c>
      <c r="F277" t="s">
        <v>21</v>
      </c>
      <c r="G277" t="s">
        <v>22</v>
      </c>
      <c r="H277">
        <v>2</v>
      </c>
      <c r="I277" s="7">
        <v>0</v>
      </c>
      <c r="J277">
        <v>149.9</v>
      </c>
      <c r="K277" t="s">
        <v>90</v>
      </c>
      <c r="L277" t="s">
        <v>23</v>
      </c>
      <c r="M277" t="str" cm="1">
        <f t="array" ref="M277">_xlfn.IFS(OR('Original Data'!M277=0,'Original Data'!M277="No",'Original Data'!M277=FALSE),"No",OR('Original Data'!M277=1,'Original Data'!M277="Yes",'Original Data'!M277=TRUE),"Yes")</f>
        <v>No</v>
      </c>
    </row>
    <row r="278" spans="1:13" x14ac:dyDescent="0.2">
      <c r="A278">
        <v>277</v>
      </c>
      <c r="B278" t="s">
        <v>56</v>
      </c>
      <c r="C278" s="5">
        <v>45333</v>
      </c>
      <c r="D278" t="s">
        <v>57</v>
      </c>
      <c r="E278" t="s">
        <v>48</v>
      </c>
      <c r="F278" t="s">
        <v>53</v>
      </c>
      <c r="G278" t="s">
        <v>54</v>
      </c>
      <c r="H278">
        <v>4</v>
      </c>
      <c r="I278" s="7">
        <v>0.15</v>
      </c>
      <c r="J278">
        <v>289</v>
      </c>
      <c r="K278" t="str">
        <f>PROPER('Original Data'!K278)</f>
        <v>Apple Pay</v>
      </c>
      <c r="L278" t="s">
        <v>30</v>
      </c>
      <c r="M278" t="str" cm="1">
        <f t="array" ref="M278">_xlfn.IFS(OR('Original Data'!M278=0,'Original Data'!M278="No",'Original Data'!M278=FALSE),"No",OR('Original Data'!M278=1,'Original Data'!M278="Yes",'Original Data'!M278=TRUE),"Yes")</f>
        <v>Yes</v>
      </c>
    </row>
    <row r="279" spans="1:13" x14ac:dyDescent="0.2">
      <c r="A279">
        <v>278</v>
      </c>
      <c r="B279" t="s">
        <v>61</v>
      </c>
      <c r="C279" s="5">
        <v>45092</v>
      </c>
      <c r="D279" t="s">
        <v>62</v>
      </c>
      <c r="E279" t="s">
        <v>33</v>
      </c>
      <c r="F279" t="s">
        <v>21</v>
      </c>
      <c r="G279" t="s">
        <v>22</v>
      </c>
      <c r="H279">
        <v>1</v>
      </c>
      <c r="I279" s="7">
        <v>0.05</v>
      </c>
      <c r="J279">
        <v>33.24</v>
      </c>
      <c r="K279" t="str">
        <f>PROPER('Original Data'!K279)</f>
        <v>Apple Pay</v>
      </c>
      <c r="L279" t="s">
        <v>41</v>
      </c>
      <c r="M279" t="str" cm="1">
        <f t="array" ref="M279">_xlfn.IFS(OR('Original Data'!M279=0,'Original Data'!M279="No",'Original Data'!M279=FALSE),"No",OR('Original Data'!M279=1,'Original Data'!M279="Yes",'Original Data'!M279=TRUE),"Yes")</f>
        <v>No</v>
      </c>
    </row>
    <row r="280" spans="1:13" x14ac:dyDescent="0.2">
      <c r="A280">
        <v>279</v>
      </c>
      <c r="B280" t="s">
        <v>42</v>
      </c>
      <c r="C280" s="5">
        <v>44992</v>
      </c>
      <c r="D280" t="s">
        <v>91</v>
      </c>
      <c r="E280" t="s">
        <v>15</v>
      </c>
      <c r="F280" t="s">
        <v>26</v>
      </c>
      <c r="G280" t="s">
        <v>22</v>
      </c>
      <c r="H280">
        <v>2</v>
      </c>
      <c r="I280" s="7">
        <v>0</v>
      </c>
      <c r="J280">
        <v>258</v>
      </c>
      <c r="K280" t="str">
        <f>PROPER('Original Data'!K280)</f>
        <v>Credit Card</v>
      </c>
      <c r="L280" t="s">
        <v>28</v>
      </c>
      <c r="M280" t="str" cm="1">
        <f t="array" ref="M280">_xlfn.IFS(OR('Original Data'!M280=0,'Original Data'!M280="No",'Original Data'!M280=FALSE),"No",OR('Original Data'!M280=1,'Original Data'!M280="Yes",'Original Data'!M280=TRUE),"Yes")</f>
        <v>Yes</v>
      </c>
    </row>
    <row r="281" spans="1:13" x14ac:dyDescent="0.2">
      <c r="A281">
        <v>280</v>
      </c>
      <c r="B281" t="s">
        <v>31</v>
      </c>
      <c r="C281" s="5">
        <v>45599</v>
      </c>
      <c r="D281" t="s">
        <v>32</v>
      </c>
      <c r="E281" t="s">
        <v>33</v>
      </c>
      <c r="F281" t="s">
        <v>26</v>
      </c>
      <c r="G281" t="s">
        <v>22</v>
      </c>
      <c r="H281">
        <v>4</v>
      </c>
      <c r="I281" s="7">
        <v>0.25</v>
      </c>
      <c r="J281">
        <v>239.85</v>
      </c>
      <c r="K281" t="str">
        <f>PROPER('Original Data'!K281)</f>
        <v>Debit Card</v>
      </c>
      <c r="L281" t="s">
        <v>23</v>
      </c>
      <c r="M281" t="str" cm="1">
        <f t="array" ref="M281">_xlfn.IFS(OR('Original Data'!M281=0,'Original Data'!M281="No",'Original Data'!M281=FALSE),"No",OR('Original Data'!M281=1,'Original Data'!M281="Yes",'Original Data'!M281=TRUE),"Yes")</f>
        <v>No</v>
      </c>
    </row>
    <row r="282" spans="1:13" x14ac:dyDescent="0.2">
      <c r="A282">
        <v>281</v>
      </c>
      <c r="B282" t="s">
        <v>31</v>
      </c>
      <c r="C282" s="5">
        <v>45612</v>
      </c>
      <c r="D282" t="s">
        <v>32</v>
      </c>
      <c r="E282" t="s">
        <v>33</v>
      </c>
      <c r="F282" t="s">
        <v>26</v>
      </c>
      <c r="G282" t="s">
        <v>22</v>
      </c>
      <c r="H282">
        <v>1</v>
      </c>
      <c r="I282" s="7">
        <v>0.1</v>
      </c>
      <c r="J282">
        <v>71.959999999999994</v>
      </c>
      <c r="K282" t="str">
        <f>PROPER('Original Data'!K282)</f>
        <v>Cash</v>
      </c>
      <c r="L282" t="s">
        <v>28</v>
      </c>
      <c r="M282" t="str" cm="1">
        <f t="array" ref="M282">_xlfn.IFS(OR('Original Data'!M282=0,'Original Data'!M282="No",'Original Data'!M282=FALSE),"No",OR('Original Data'!M282=1,'Original Data'!M282="Yes",'Original Data'!M282=TRUE),"Yes")</f>
        <v>No</v>
      </c>
    </row>
    <row r="283" spans="1:13" x14ac:dyDescent="0.2">
      <c r="A283">
        <v>282</v>
      </c>
      <c r="B283" t="s">
        <v>68</v>
      </c>
      <c r="C283" s="5">
        <v>45340</v>
      </c>
      <c r="D283" t="s">
        <v>69</v>
      </c>
      <c r="E283" t="s">
        <v>33</v>
      </c>
      <c r="G283" t="s">
        <v>25</v>
      </c>
      <c r="H283">
        <v>3</v>
      </c>
      <c r="I283" s="7">
        <v>0.05</v>
      </c>
      <c r="J283">
        <v>339.15</v>
      </c>
      <c r="K283" t="str">
        <f>PROPER('Original Data'!K283)</f>
        <v>Gift Card</v>
      </c>
      <c r="L283" t="s">
        <v>63</v>
      </c>
      <c r="M283" t="str" cm="1">
        <f t="array" ref="M283">_xlfn.IFS(OR('Original Data'!M283=0,'Original Data'!M283="No",'Original Data'!M283=FALSE),"No",OR('Original Data'!M283=1,'Original Data'!M283="Yes",'Original Data'!M283=TRUE),"Yes")</f>
        <v>No</v>
      </c>
    </row>
    <row r="284" spans="1:13" x14ac:dyDescent="0.2">
      <c r="A284">
        <v>283</v>
      </c>
      <c r="B284" t="s">
        <v>56</v>
      </c>
      <c r="C284" s="5">
        <v>45503</v>
      </c>
      <c r="D284" t="s">
        <v>57</v>
      </c>
      <c r="E284" t="s">
        <v>48</v>
      </c>
      <c r="F284" t="s">
        <v>53</v>
      </c>
      <c r="G284" t="s">
        <v>54</v>
      </c>
      <c r="H284">
        <v>5</v>
      </c>
      <c r="I284" s="7">
        <v>0.1</v>
      </c>
      <c r="J284">
        <v>382.5</v>
      </c>
      <c r="K284" t="str">
        <f>PROPER('Original Data'!K284)</f>
        <v>Gift Card</v>
      </c>
      <c r="M284" t="str" cm="1">
        <f t="array" ref="M284">_xlfn.IFS(OR('Original Data'!M284=0,'Original Data'!M284="No",'Original Data'!M284=FALSE),"No",OR('Original Data'!M284=1,'Original Data'!M284="Yes",'Original Data'!M284=TRUE),"Yes")</f>
        <v>Yes</v>
      </c>
    </row>
    <row r="285" spans="1:13" x14ac:dyDescent="0.2">
      <c r="A285">
        <v>284</v>
      </c>
      <c r="B285" t="s">
        <v>74</v>
      </c>
      <c r="C285" s="5">
        <v>45288</v>
      </c>
      <c r="D285" t="s">
        <v>75</v>
      </c>
      <c r="E285" t="s">
        <v>76</v>
      </c>
      <c r="F285" t="s">
        <v>16</v>
      </c>
      <c r="G285" t="s">
        <v>17</v>
      </c>
      <c r="H285">
        <v>2</v>
      </c>
      <c r="I285" s="7">
        <v>0.05</v>
      </c>
      <c r="J285">
        <v>85.4</v>
      </c>
      <c r="K285" t="str">
        <f>PROPER('Original Data'!K285)</f>
        <v>Gift Card</v>
      </c>
      <c r="L285" t="s">
        <v>49</v>
      </c>
      <c r="M285" t="str" cm="1">
        <f t="array" ref="M285">_xlfn.IFS(OR('Original Data'!M285=0,'Original Data'!M285="No",'Original Data'!M285=FALSE),"No",OR('Original Data'!M285=1,'Original Data'!M285="Yes",'Original Data'!M285=TRUE),"Yes")</f>
        <v>No</v>
      </c>
    </row>
    <row r="286" spans="1:13" x14ac:dyDescent="0.2">
      <c r="A286">
        <v>285</v>
      </c>
      <c r="B286" t="s">
        <v>83</v>
      </c>
      <c r="C286" s="5">
        <v>45202</v>
      </c>
      <c r="D286" t="s">
        <v>84</v>
      </c>
      <c r="E286" t="s">
        <v>48</v>
      </c>
      <c r="F286" t="s">
        <v>66</v>
      </c>
      <c r="G286" t="s">
        <v>67</v>
      </c>
      <c r="H286">
        <v>3</v>
      </c>
      <c r="I286" s="7">
        <v>0.15</v>
      </c>
      <c r="J286">
        <v>127.37</v>
      </c>
      <c r="K286" t="s">
        <v>90</v>
      </c>
      <c r="L286" t="s">
        <v>63</v>
      </c>
      <c r="M286" t="str" cm="1">
        <f t="array" ref="M286">_xlfn.IFS(OR('Original Data'!M286=0,'Original Data'!M286="No",'Original Data'!M286=FALSE),"No",OR('Original Data'!M286=1,'Original Data'!M286="Yes",'Original Data'!M286=TRUE),"Yes")</f>
        <v>No</v>
      </c>
    </row>
    <row r="287" spans="1:13" x14ac:dyDescent="0.2">
      <c r="A287">
        <v>286</v>
      </c>
      <c r="B287" t="s">
        <v>19</v>
      </c>
      <c r="C287" s="5">
        <v>45049</v>
      </c>
      <c r="D287" t="str">
        <f>VLOOKUP(B287,'Original Data'!B:D,3,FALSE)</f>
        <v>Denim Jacket</v>
      </c>
      <c r="E287" t="str">
        <f>_xlfn.XLOOKUP('Cleaned Data'!B425,'Original Data'!B:B,'Original Data'!E:E)</f>
        <v>GAP</v>
      </c>
      <c r="F287" t="s">
        <v>34</v>
      </c>
      <c r="G287" t="s">
        <v>35</v>
      </c>
      <c r="H287">
        <v>5</v>
      </c>
      <c r="I287" s="7">
        <v>0.15</v>
      </c>
      <c r="J287">
        <v>382.29</v>
      </c>
      <c r="K287" t="str">
        <f>PROPER('Original Data'!K287)</f>
        <v>Credit Card</v>
      </c>
      <c r="L287" t="s">
        <v>45</v>
      </c>
      <c r="M287" t="s">
        <v>92</v>
      </c>
    </row>
    <row r="288" spans="1:13" x14ac:dyDescent="0.2">
      <c r="A288">
        <v>287</v>
      </c>
      <c r="B288" t="s">
        <v>81</v>
      </c>
      <c r="C288" s="5">
        <v>45213</v>
      </c>
      <c r="D288" t="s">
        <v>82</v>
      </c>
      <c r="E288" t="s">
        <v>15</v>
      </c>
      <c r="F288" t="s">
        <v>44</v>
      </c>
      <c r="H288">
        <v>3</v>
      </c>
      <c r="I288" s="7">
        <v>0.25</v>
      </c>
      <c r="J288">
        <v>179.89</v>
      </c>
      <c r="K288" t="s">
        <v>90</v>
      </c>
      <c r="L288" t="s">
        <v>45</v>
      </c>
      <c r="M288" t="str" cm="1">
        <f t="array" ref="M288">_xlfn.IFS(OR('Original Data'!M288=0,'Original Data'!M288="No",'Original Data'!M288=FALSE),"No",OR('Original Data'!M288=1,'Original Data'!M288="Yes",'Original Data'!M288=TRUE),"Yes")</f>
        <v>Yes</v>
      </c>
    </row>
    <row r="289" spans="1:13" x14ac:dyDescent="0.2">
      <c r="A289">
        <v>288</v>
      </c>
      <c r="B289" t="s">
        <v>24</v>
      </c>
      <c r="C289" s="5">
        <v>44935</v>
      </c>
      <c r="D289" t="s">
        <v>87</v>
      </c>
      <c r="E289" t="s">
        <v>39</v>
      </c>
      <c r="F289" t="s">
        <v>66</v>
      </c>
      <c r="G289" t="s">
        <v>67</v>
      </c>
      <c r="H289">
        <v>1</v>
      </c>
      <c r="I289" s="7">
        <v>0.25</v>
      </c>
      <c r="J289">
        <v>33.71</v>
      </c>
      <c r="K289" t="str">
        <f>PROPER('Original Data'!K289)</f>
        <v>Apple Pay</v>
      </c>
      <c r="L289" t="s">
        <v>49</v>
      </c>
      <c r="M289" t="str" cm="1">
        <f t="array" ref="M289">_xlfn.IFS(OR('Original Data'!M289=0,'Original Data'!M289="No",'Original Data'!M289=FALSE),"No",OR('Original Data'!M289=1,'Original Data'!M289="Yes",'Original Data'!M289=TRUE),"Yes")</f>
        <v>Yes</v>
      </c>
    </row>
    <row r="290" spans="1:13" x14ac:dyDescent="0.2">
      <c r="A290">
        <v>289</v>
      </c>
      <c r="B290" t="s">
        <v>68</v>
      </c>
      <c r="C290" s="5">
        <v>45356</v>
      </c>
      <c r="D290" t="s">
        <v>69</v>
      </c>
      <c r="E290" t="s">
        <v>33</v>
      </c>
      <c r="F290" t="s">
        <v>40</v>
      </c>
      <c r="G290" t="s">
        <v>17</v>
      </c>
      <c r="H290">
        <v>2</v>
      </c>
      <c r="I290" s="7">
        <v>0.25</v>
      </c>
      <c r="J290">
        <v>178.5</v>
      </c>
      <c r="K290" t="str">
        <f>PROPER('Original Data'!K290)</f>
        <v>Debit Card</v>
      </c>
      <c r="L290" t="s">
        <v>28</v>
      </c>
      <c r="M290" t="str" cm="1">
        <f t="array" ref="M290">_xlfn.IFS(OR('Original Data'!M290=0,'Original Data'!M290="No",'Original Data'!M290=FALSE),"No",OR('Original Data'!M290=1,'Original Data'!M290="Yes",'Original Data'!M290=TRUE),"Yes")</f>
        <v>No</v>
      </c>
    </row>
    <row r="291" spans="1:13" x14ac:dyDescent="0.2">
      <c r="A291">
        <v>290</v>
      </c>
      <c r="B291" t="s">
        <v>19</v>
      </c>
      <c r="C291" s="5">
        <v>45076</v>
      </c>
      <c r="D291" t="s">
        <v>20</v>
      </c>
      <c r="E291" t="s">
        <v>15</v>
      </c>
      <c r="F291" t="s">
        <v>53</v>
      </c>
      <c r="G291" t="s">
        <v>54</v>
      </c>
      <c r="H291">
        <v>5</v>
      </c>
      <c r="I291" s="7">
        <v>0.2</v>
      </c>
      <c r="J291">
        <v>359.8</v>
      </c>
      <c r="K291" t="str">
        <f>PROPER('Original Data'!K291)</f>
        <v>Debit Card</v>
      </c>
      <c r="L291" t="s">
        <v>28</v>
      </c>
      <c r="M291" t="str" cm="1">
        <f t="array" ref="M291">_xlfn.IFS(OR('Original Data'!M291=0,'Original Data'!M291="No",'Original Data'!M291=FALSE),"No",OR('Original Data'!M291=1,'Original Data'!M291="Yes",'Original Data'!M291=TRUE),"Yes")</f>
        <v>Yes</v>
      </c>
    </row>
    <row r="292" spans="1:13" x14ac:dyDescent="0.2">
      <c r="A292">
        <v>291</v>
      </c>
      <c r="B292" t="s">
        <v>50</v>
      </c>
      <c r="C292" s="5">
        <v>45634</v>
      </c>
      <c r="D292" t="s">
        <v>51</v>
      </c>
      <c r="E292" t="s">
        <v>15</v>
      </c>
      <c r="F292" t="s">
        <v>44</v>
      </c>
      <c r="H292">
        <v>3</v>
      </c>
      <c r="I292" s="7">
        <v>0</v>
      </c>
      <c r="J292">
        <v>209.85</v>
      </c>
      <c r="K292" t="str">
        <f>PROPER('Original Data'!K292)</f>
        <v>Credit Card</v>
      </c>
      <c r="L292" t="s">
        <v>28</v>
      </c>
      <c r="M292" t="str" cm="1">
        <f t="array" ref="M292">_xlfn.IFS(OR('Original Data'!M292=0,'Original Data'!M292="No",'Original Data'!M292=FALSE),"No",OR('Original Data'!M292=1,'Original Data'!M292="Yes",'Original Data'!M292=TRUE),"Yes")</f>
        <v>No</v>
      </c>
    </row>
    <row r="293" spans="1:13" x14ac:dyDescent="0.2">
      <c r="A293">
        <v>292</v>
      </c>
      <c r="B293" t="s">
        <v>68</v>
      </c>
      <c r="C293" s="5">
        <v>45622</v>
      </c>
      <c r="D293" t="s">
        <v>69</v>
      </c>
      <c r="E293" t="s">
        <v>33</v>
      </c>
      <c r="F293" t="s">
        <v>53</v>
      </c>
      <c r="G293" t="s">
        <v>54</v>
      </c>
      <c r="H293">
        <v>1</v>
      </c>
      <c r="I293" s="7">
        <v>0.2</v>
      </c>
      <c r="J293">
        <v>95.2</v>
      </c>
      <c r="K293" t="str">
        <f>PROPER('Original Data'!K293)</f>
        <v>Cash</v>
      </c>
      <c r="L293" t="s">
        <v>55</v>
      </c>
      <c r="M293" t="str" cm="1">
        <f t="array" ref="M293">_xlfn.IFS(OR('Original Data'!M293=0,'Original Data'!M293="No",'Original Data'!M293=FALSE),"No",OR('Original Data'!M293=1,'Original Data'!M293="Yes",'Original Data'!M293=TRUE),"Yes")</f>
        <v>No</v>
      </c>
    </row>
    <row r="294" spans="1:13" x14ac:dyDescent="0.2">
      <c r="A294">
        <v>293</v>
      </c>
      <c r="B294" t="s">
        <v>42</v>
      </c>
      <c r="C294" s="5">
        <v>45075</v>
      </c>
      <c r="D294" t="s">
        <v>91</v>
      </c>
      <c r="E294" t="s">
        <v>15</v>
      </c>
      <c r="F294" t="s">
        <v>44</v>
      </c>
      <c r="H294">
        <v>4</v>
      </c>
      <c r="I294" s="7">
        <v>0.1</v>
      </c>
      <c r="J294">
        <v>464.4</v>
      </c>
      <c r="K294" t="str">
        <f>PROPER('Original Data'!K294)</f>
        <v>Apple Pay</v>
      </c>
      <c r="L294" t="s">
        <v>41</v>
      </c>
      <c r="M294" t="str" cm="1">
        <f t="array" ref="M294">_xlfn.IFS(OR('Original Data'!M294=0,'Original Data'!M294="No",'Original Data'!M294=FALSE),"No",OR('Original Data'!M294=1,'Original Data'!M294="Yes",'Original Data'!M294=TRUE),"Yes")</f>
        <v>Yes</v>
      </c>
    </row>
    <row r="295" spans="1:13" x14ac:dyDescent="0.2">
      <c r="A295">
        <v>294</v>
      </c>
      <c r="B295" t="s">
        <v>88</v>
      </c>
      <c r="C295" s="5">
        <v>45382</v>
      </c>
      <c r="D295" t="s">
        <v>89</v>
      </c>
      <c r="E295" t="s">
        <v>33</v>
      </c>
      <c r="F295" t="s">
        <v>40</v>
      </c>
      <c r="G295" t="s">
        <v>17</v>
      </c>
      <c r="H295">
        <v>3</v>
      </c>
      <c r="I295" s="7">
        <v>0.1</v>
      </c>
      <c r="J295">
        <v>534.6</v>
      </c>
      <c r="K295" t="str">
        <f>PROPER('Original Data'!K295)</f>
        <v>Cash</v>
      </c>
      <c r="L295" t="s">
        <v>28</v>
      </c>
      <c r="M295" t="str" cm="1">
        <f t="array" ref="M295">_xlfn.IFS(OR('Original Data'!M295=0,'Original Data'!M295="No",'Original Data'!M295=FALSE),"No",OR('Original Data'!M295=1,'Original Data'!M295="Yes",'Original Data'!M295=TRUE),"Yes")</f>
        <v>No</v>
      </c>
    </row>
    <row r="296" spans="1:13" x14ac:dyDescent="0.2">
      <c r="A296">
        <v>295</v>
      </c>
      <c r="B296" t="s">
        <v>37</v>
      </c>
      <c r="C296" s="5">
        <v>44992</v>
      </c>
      <c r="D296" t="s">
        <v>38</v>
      </c>
      <c r="E296" t="s">
        <v>39</v>
      </c>
      <c r="F296" t="s">
        <v>16</v>
      </c>
      <c r="G296" t="s">
        <v>17</v>
      </c>
      <c r="H296">
        <v>2</v>
      </c>
      <c r="I296" s="7">
        <v>0.2</v>
      </c>
      <c r="J296">
        <v>103.92</v>
      </c>
      <c r="K296" t="str">
        <f>PROPER('Original Data'!K296)</f>
        <v>Credit Card</v>
      </c>
      <c r="L296" t="s">
        <v>55</v>
      </c>
      <c r="M296" t="str" cm="1">
        <f t="array" ref="M296">_xlfn.IFS(OR('Original Data'!M296=0,'Original Data'!M296="No",'Original Data'!M296=FALSE),"No",OR('Original Data'!M296=1,'Original Data'!M296="Yes",'Original Data'!M296=TRUE),"Yes")</f>
        <v>Yes</v>
      </c>
    </row>
    <row r="297" spans="1:13" x14ac:dyDescent="0.2">
      <c r="A297">
        <v>296</v>
      </c>
      <c r="B297" t="s">
        <v>50</v>
      </c>
      <c r="C297" s="5">
        <v>45568</v>
      </c>
      <c r="D297" t="s">
        <v>51</v>
      </c>
      <c r="E297" t="s">
        <v>15</v>
      </c>
      <c r="F297" t="s">
        <v>21</v>
      </c>
      <c r="G297" t="s">
        <v>22</v>
      </c>
      <c r="H297">
        <v>2</v>
      </c>
      <c r="I297" s="7">
        <v>0.05</v>
      </c>
      <c r="J297">
        <v>132.9</v>
      </c>
      <c r="K297" t="str">
        <f>PROPER('Original Data'!K297)</f>
        <v>Gift Card</v>
      </c>
      <c r="L297" t="s">
        <v>30</v>
      </c>
      <c r="M297" t="str" cm="1">
        <f t="array" ref="M297">_xlfn.IFS(OR('Original Data'!M297=0,'Original Data'!M297="No",'Original Data'!M297=FALSE),"No",OR('Original Data'!M297=1,'Original Data'!M297="Yes",'Original Data'!M297=TRUE),"Yes")</f>
        <v>No</v>
      </c>
    </row>
    <row r="298" spans="1:13" x14ac:dyDescent="0.2">
      <c r="A298">
        <v>297</v>
      </c>
      <c r="B298" t="s">
        <v>56</v>
      </c>
      <c r="C298" s="5">
        <v>45538</v>
      </c>
      <c r="D298" t="s">
        <v>57</v>
      </c>
      <c r="E298" t="s">
        <v>48</v>
      </c>
      <c r="F298" t="s">
        <v>53</v>
      </c>
      <c r="G298" t="s">
        <v>54</v>
      </c>
      <c r="H298">
        <v>4</v>
      </c>
      <c r="I298" s="7">
        <v>0</v>
      </c>
      <c r="J298">
        <v>340</v>
      </c>
      <c r="K298" t="s">
        <v>90</v>
      </c>
      <c r="L298" t="s">
        <v>45</v>
      </c>
      <c r="M298" t="str" cm="1">
        <f t="array" ref="M298">_xlfn.IFS(OR('Original Data'!M298=0,'Original Data'!M298="No",'Original Data'!M298=FALSE),"No",OR('Original Data'!M298=1,'Original Data'!M298="Yes",'Original Data'!M298=TRUE),"Yes")</f>
        <v>Yes</v>
      </c>
    </row>
    <row r="299" spans="1:13" x14ac:dyDescent="0.2">
      <c r="A299">
        <v>298</v>
      </c>
      <c r="B299" t="s">
        <v>24</v>
      </c>
      <c r="C299" s="5">
        <v>45086</v>
      </c>
      <c r="D299" t="s">
        <v>87</v>
      </c>
      <c r="E299" t="s">
        <v>39</v>
      </c>
      <c r="G299" t="s">
        <v>25</v>
      </c>
      <c r="H299">
        <v>3</v>
      </c>
      <c r="I299" s="7">
        <v>0.15</v>
      </c>
      <c r="J299">
        <v>114.62</v>
      </c>
      <c r="K299" t="str">
        <f>PROPER('Original Data'!K299)</f>
        <v>Cash</v>
      </c>
      <c r="L299" t="s">
        <v>28</v>
      </c>
      <c r="M299" t="str" cm="1">
        <f t="array" ref="M299">_xlfn.IFS(OR('Original Data'!M299=0,'Original Data'!M299="No",'Original Data'!M299=FALSE),"No",OR('Original Data'!M299=1,'Original Data'!M299="Yes",'Original Data'!M299=TRUE),"Yes")</f>
        <v>Yes</v>
      </c>
    </row>
    <row r="300" spans="1:13" x14ac:dyDescent="0.2">
      <c r="A300">
        <v>299</v>
      </c>
      <c r="B300" t="s">
        <v>50</v>
      </c>
      <c r="C300" s="5">
        <v>45163</v>
      </c>
      <c r="D300" t="s">
        <v>51</v>
      </c>
      <c r="E300" t="s">
        <v>15</v>
      </c>
      <c r="F300" t="s">
        <v>44</v>
      </c>
      <c r="H300">
        <v>1</v>
      </c>
      <c r="I300" s="7">
        <v>0.2</v>
      </c>
      <c r="J300">
        <v>55.96</v>
      </c>
      <c r="K300" t="s">
        <v>90</v>
      </c>
      <c r="L300" t="s">
        <v>30</v>
      </c>
      <c r="M300" t="str" cm="1">
        <f t="array" ref="M300">_xlfn.IFS(OR('Original Data'!M300=0,'Original Data'!M300="No",'Original Data'!M300=FALSE),"No",OR('Original Data'!M300=1,'Original Data'!M300="Yes",'Original Data'!M300=TRUE),"Yes")</f>
        <v>No</v>
      </c>
    </row>
    <row r="301" spans="1:13" x14ac:dyDescent="0.2">
      <c r="A301">
        <v>300</v>
      </c>
      <c r="B301" t="s">
        <v>64</v>
      </c>
      <c r="C301" s="5">
        <v>45554</v>
      </c>
      <c r="D301" t="s">
        <v>65</v>
      </c>
      <c r="E301" t="s">
        <v>33</v>
      </c>
      <c r="F301" t="s">
        <v>34</v>
      </c>
      <c r="G301" t="s">
        <v>35</v>
      </c>
      <c r="H301">
        <v>1</v>
      </c>
      <c r="I301" s="7">
        <v>0.2</v>
      </c>
      <c r="J301">
        <v>59.96</v>
      </c>
      <c r="K301" t="s">
        <v>90</v>
      </c>
      <c r="L301" t="s">
        <v>63</v>
      </c>
      <c r="M301" t="str" cm="1">
        <f t="array" ref="M301">_xlfn.IFS(OR('Original Data'!M301=0,'Original Data'!M301="No",'Original Data'!M301=FALSE),"No",OR('Original Data'!M301=1,'Original Data'!M301="Yes",'Original Data'!M301=TRUE),"Yes")</f>
        <v>No</v>
      </c>
    </row>
    <row r="302" spans="1:13" x14ac:dyDescent="0.2">
      <c r="A302">
        <v>301</v>
      </c>
      <c r="B302" t="s">
        <v>71</v>
      </c>
      <c r="C302" s="5">
        <v>45255</v>
      </c>
      <c r="D302" t="s">
        <v>72</v>
      </c>
      <c r="E302" t="s">
        <v>33</v>
      </c>
      <c r="F302" t="s">
        <v>44</v>
      </c>
      <c r="H302">
        <v>4</v>
      </c>
      <c r="I302" s="7">
        <v>0.1</v>
      </c>
      <c r="J302">
        <v>215.82</v>
      </c>
      <c r="K302" t="str">
        <f>PROPER('Original Data'!K302)</f>
        <v>Debit Card</v>
      </c>
      <c r="L302" t="s">
        <v>41</v>
      </c>
      <c r="M302" t="str" cm="1">
        <f t="array" ref="M302">_xlfn.IFS(OR('Original Data'!M302=0,'Original Data'!M302="No",'Original Data'!M302=FALSE),"No",OR('Original Data'!M302=1,'Original Data'!M302="Yes",'Original Data'!M302=TRUE),"Yes")</f>
        <v>Yes</v>
      </c>
    </row>
    <row r="303" spans="1:13" x14ac:dyDescent="0.2">
      <c r="A303">
        <v>302</v>
      </c>
      <c r="B303" t="s">
        <v>83</v>
      </c>
      <c r="C303" s="5">
        <v>45437</v>
      </c>
      <c r="D303" t="str">
        <f>VLOOKUP(B303,'Original Data'!B:D,3,FALSE)</f>
        <v>Graphic Hoodie</v>
      </c>
      <c r="E303" t="str">
        <f>_xlfn.XLOOKUP('Cleaned Data'!B897,'Original Data'!B:B,'Original Data'!E:E)</f>
        <v>GAP</v>
      </c>
      <c r="F303" t="s">
        <v>26</v>
      </c>
      <c r="G303" t="s">
        <v>22</v>
      </c>
      <c r="H303">
        <v>2</v>
      </c>
      <c r="I303" s="7">
        <v>0.15</v>
      </c>
      <c r="J303">
        <v>84.92</v>
      </c>
      <c r="K303" t="str">
        <f>PROPER('Original Data'!K303)</f>
        <v>Cash</v>
      </c>
      <c r="L303" t="s">
        <v>28</v>
      </c>
      <c r="M303" t="s">
        <v>92</v>
      </c>
    </row>
    <row r="304" spans="1:13" x14ac:dyDescent="0.2">
      <c r="A304">
        <v>303</v>
      </c>
      <c r="B304" t="s">
        <v>31</v>
      </c>
      <c r="C304" s="5">
        <v>45051</v>
      </c>
      <c r="D304" t="s">
        <v>32</v>
      </c>
      <c r="E304" t="s">
        <v>33</v>
      </c>
      <c r="F304" t="s">
        <v>44</v>
      </c>
      <c r="H304">
        <v>2</v>
      </c>
      <c r="I304" s="7">
        <v>0.1</v>
      </c>
      <c r="J304">
        <v>143.91</v>
      </c>
      <c r="K304" t="str">
        <f>PROPER('Original Data'!K304)</f>
        <v>Credit Card</v>
      </c>
      <c r="L304" t="s">
        <v>28</v>
      </c>
      <c r="M304" t="str" cm="1">
        <f t="array" ref="M304">_xlfn.IFS(OR('Original Data'!M304=0,'Original Data'!M304="No",'Original Data'!M304=FALSE),"No",OR('Original Data'!M304=1,'Original Data'!M304="Yes",'Original Data'!M304=TRUE),"Yes")</f>
        <v>No</v>
      </c>
    </row>
    <row r="305" spans="1:13" x14ac:dyDescent="0.2">
      <c r="A305">
        <v>304</v>
      </c>
      <c r="B305" t="s">
        <v>83</v>
      </c>
      <c r="C305" s="5">
        <v>45571</v>
      </c>
      <c r="D305" t="s">
        <v>84</v>
      </c>
      <c r="E305" t="s">
        <v>48</v>
      </c>
      <c r="G305" t="s">
        <v>25</v>
      </c>
      <c r="H305">
        <v>4</v>
      </c>
      <c r="I305" s="7">
        <v>0.1</v>
      </c>
      <c r="J305">
        <v>179.82</v>
      </c>
      <c r="K305" t="str">
        <f>PROPER('Original Data'!K305)</f>
        <v>Debit Card</v>
      </c>
      <c r="L305" t="s">
        <v>49</v>
      </c>
      <c r="M305" t="str" cm="1">
        <f t="array" ref="M305">_xlfn.IFS(OR('Original Data'!M305=0,'Original Data'!M305="No",'Original Data'!M305=FALSE),"No",OR('Original Data'!M305=1,'Original Data'!M305="Yes",'Original Data'!M305=TRUE),"Yes")</f>
        <v>No</v>
      </c>
    </row>
    <row r="306" spans="1:13" x14ac:dyDescent="0.2">
      <c r="A306">
        <v>305</v>
      </c>
      <c r="B306" t="s">
        <v>46</v>
      </c>
      <c r="C306" s="5">
        <v>45098</v>
      </c>
      <c r="D306" t="s">
        <v>47</v>
      </c>
      <c r="E306" t="s">
        <v>48</v>
      </c>
      <c r="F306" t="s">
        <v>34</v>
      </c>
      <c r="G306" t="s">
        <v>35</v>
      </c>
      <c r="H306">
        <v>2</v>
      </c>
      <c r="I306" s="7">
        <v>0.2</v>
      </c>
      <c r="J306">
        <v>79.92</v>
      </c>
      <c r="K306" t="str">
        <f>PROPER('Original Data'!K306)</f>
        <v>Credit Card</v>
      </c>
      <c r="L306" t="s">
        <v>49</v>
      </c>
      <c r="M306" t="str" cm="1">
        <f t="array" ref="M306">_xlfn.IFS(OR('Original Data'!M306=0,'Original Data'!M306="No",'Original Data'!M306=FALSE),"No",OR('Original Data'!M306=1,'Original Data'!M306="Yes",'Original Data'!M306=TRUE),"Yes")</f>
        <v>No</v>
      </c>
    </row>
    <row r="307" spans="1:13" x14ac:dyDescent="0.2">
      <c r="A307">
        <v>306</v>
      </c>
      <c r="B307" t="s">
        <v>19</v>
      </c>
      <c r="C307" s="5">
        <v>45560</v>
      </c>
      <c r="D307" t="s">
        <v>20</v>
      </c>
      <c r="E307" t="s">
        <v>15</v>
      </c>
      <c r="F307" t="s">
        <v>16</v>
      </c>
      <c r="G307" t="s">
        <v>17</v>
      </c>
      <c r="H307">
        <v>2</v>
      </c>
      <c r="J307">
        <v>179.9</v>
      </c>
      <c r="K307" t="str">
        <f>PROPER('Original Data'!K307)</f>
        <v>Apple Pay</v>
      </c>
      <c r="L307" t="s">
        <v>55</v>
      </c>
      <c r="M307" t="str" cm="1">
        <f t="array" ref="M307">_xlfn.IFS(OR('Original Data'!M307=0,'Original Data'!M307="No",'Original Data'!M307=FALSE),"No",OR('Original Data'!M307=1,'Original Data'!M307="Yes",'Original Data'!M307=TRUE),"Yes")</f>
        <v>Yes</v>
      </c>
    </row>
    <row r="308" spans="1:13" x14ac:dyDescent="0.2">
      <c r="A308">
        <v>307</v>
      </c>
      <c r="B308" t="s">
        <v>24</v>
      </c>
      <c r="C308" s="5">
        <v>45064</v>
      </c>
      <c r="D308" t="s">
        <v>87</v>
      </c>
      <c r="E308" t="s">
        <v>39</v>
      </c>
      <c r="F308" t="s">
        <v>40</v>
      </c>
      <c r="G308" t="s">
        <v>17</v>
      </c>
      <c r="H308">
        <v>2</v>
      </c>
      <c r="I308" s="7">
        <v>0</v>
      </c>
      <c r="J308">
        <v>89.9</v>
      </c>
      <c r="K308" t="str">
        <f>PROPER('Original Data'!K308)</f>
        <v>Cash</v>
      </c>
      <c r="L308" t="s">
        <v>28</v>
      </c>
      <c r="M308" t="str" cm="1">
        <f t="array" ref="M308">_xlfn.IFS(OR('Original Data'!M308=0,'Original Data'!M308="No",'Original Data'!M308=FALSE),"No",OR('Original Data'!M308=1,'Original Data'!M308="Yes",'Original Data'!M308=TRUE),"Yes")</f>
        <v>Yes</v>
      </c>
    </row>
    <row r="309" spans="1:13" x14ac:dyDescent="0.2">
      <c r="A309">
        <v>308</v>
      </c>
      <c r="B309" t="s">
        <v>64</v>
      </c>
      <c r="C309" s="5">
        <v>45085</v>
      </c>
      <c r="D309" t="s">
        <v>65</v>
      </c>
      <c r="E309" t="s">
        <v>33</v>
      </c>
      <c r="F309" t="s">
        <v>44</v>
      </c>
      <c r="H309">
        <v>5</v>
      </c>
      <c r="I309" s="7">
        <v>0</v>
      </c>
      <c r="J309">
        <v>374.75</v>
      </c>
      <c r="K309" t="s">
        <v>90</v>
      </c>
      <c r="L309" t="s">
        <v>55</v>
      </c>
      <c r="M309" t="str" cm="1">
        <f t="array" ref="M309">_xlfn.IFS(OR('Original Data'!M309=0,'Original Data'!M309="No",'Original Data'!M309=FALSE),"No",OR('Original Data'!M309=1,'Original Data'!M309="Yes",'Original Data'!M309=TRUE),"Yes")</f>
        <v>No</v>
      </c>
    </row>
    <row r="310" spans="1:13" x14ac:dyDescent="0.2">
      <c r="A310">
        <v>309</v>
      </c>
      <c r="B310" t="s">
        <v>88</v>
      </c>
      <c r="C310" s="5">
        <v>45626</v>
      </c>
      <c r="D310" t="s">
        <v>89</v>
      </c>
      <c r="E310" t="s">
        <v>33</v>
      </c>
      <c r="F310" t="s">
        <v>34</v>
      </c>
      <c r="G310" t="s">
        <v>35</v>
      </c>
      <c r="H310">
        <v>1</v>
      </c>
      <c r="I310" s="7">
        <v>0.2</v>
      </c>
      <c r="J310">
        <v>158.4</v>
      </c>
      <c r="K310" t="s">
        <v>90</v>
      </c>
      <c r="L310" t="s">
        <v>63</v>
      </c>
      <c r="M310" t="str" cm="1">
        <f t="array" ref="M310">_xlfn.IFS(OR('Original Data'!M310=0,'Original Data'!M310="No",'Original Data'!M310=FALSE),"No",OR('Original Data'!M310=1,'Original Data'!M310="Yes",'Original Data'!M310=TRUE),"Yes")</f>
        <v>No</v>
      </c>
    </row>
    <row r="311" spans="1:13" x14ac:dyDescent="0.2">
      <c r="A311">
        <v>310</v>
      </c>
      <c r="B311" t="s">
        <v>31</v>
      </c>
      <c r="C311" s="5">
        <v>45123</v>
      </c>
      <c r="D311" t="s">
        <v>32</v>
      </c>
      <c r="E311" t="s">
        <v>33</v>
      </c>
      <c r="G311" t="s">
        <v>25</v>
      </c>
      <c r="H311">
        <v>1</v>
      </c>
      <c r="I311" s="7">
        <v>0.05</v>
      </c>
      <c r="J311">
        <v>75.95</v>
      </c>
      <c r="K311" t="str">
        <f>PROPER('Original Data'!K311)</f>
        <v>Gift Card</v>
      </c>
      <c r="M311" t="str" cm="1">
        <f t="array" ref="M311">_xlfn.IFS(OR('Original Data'!M311=0,'Original Data'!M311="No",'Original Data'!M311=FALSE),"No",OR('Original Data'!M311=1,'Original Data'!M311="Yes",'Original Data'!M311=TRUE),"Yes")</f>
        <v>No</v>
      </c>
    </row>
    <row r="312" spans="1:13" x14ac:dyDescent="0.2">
      <c r="A312">
        <v>311</v>
      </c>
      <c r="B312" t="s">
        <v>13</v>
      </c>
      <c r="C312" s="5">
        <v>45581</v>
      </c>
      <c r="D312" t="s">
        <v>14</v>
      </c>
      <c r="E312" t="s">
        <v>15</v>
      </c>
      <c r="F312" t="s">
        <v>16</v>
      </c>
      <c r="G312" t="s">
        <v>17</v>
      </c>
      <c r="H312">
        <v>2</v>
      </c>
      <c r="I312" s="7">
        <v>0.25</v>
      </c>
      <c r="J312">
        <v>29.98</v>
      </c>
      <c r="K312" t="str">
        <f>PROPER('Original Data'!K312)</f>
        <v>Gift Card</v>
      </c>
      <c r="L312" t="s">
        <v>55</v>
      </c>
      <c r="M312" t="s">
        <v>92</v>
      </c>
    </row>
    <row r="313" spans="1:13" x14ac:dyDescent="0.2">
      <c r="A313">
        <v>312</v>
      </c>
      <c r="B313" t="s">
        <v>50</v>
      </c>
      <c r="C313" s="5">
        <v>45163</v>
      </c>
      <c r="D313" t="s">
        <v>51</v>
      </c>
      <c r="E313" t="s">
        <v>15</v>
      </c>
      <c r="F313" t="s">
        <v>16</v>
      </c>
      <c r="G313" t="s">
        <v>17</v>
      </c>
      <c r="H313">
        <v>1</v>
      </c>
      <c r="I313" s="7">
        <v>0.05</v>
      </c>
      <c r="J313">
        <v>66.45</v>
      </c>
      <c r="K313" t="str">
        <f>PROPER('Original Data'!K313)</f>
        <v>Credit Card</v>
      </c>
      <c r="L313" t="s">
        <v>55</v>
      </c>
      <c r="M313" t="str" cm="1">
        <f t="array" ref="M313">_xlfn.IFS(OR('Original Data'!M313=0,'Original Data'!M313="No",'Original Data'!M313=FALSE),"No",OR('Original Data'!M313=1,'Original Data'!M313="Yes",'Original Data'!M313=TRUE),"Yes")</f>
        <v>No</v>
      </c>
    </row>
    <row r="314" spans="1:13" x14ac:dyDescent="0.2">
      <c r="A314">
        <v>313</v>
      </c>
      <c r="B314" t="s">
        <v>24</v>
      </c>
      <c r="C314" s="5">
        <v>45490</v>
      </c>
      <c r="D314" t="s">
        <v>87</v>
      </c>
      <c r="E314" t="s">
        <v>39</v>
      </c>
      <c r="F314" t="s">
        <v>40</v>
      </c>
      <c r="G314" t="s">
        <v>17</v>
      </c>
      <c r="H314">
        <v>4</v>
      </c>
      <c r="I314" s="7">
        <v>0</v>
      </c>
      <c r="J314">
        <v>179.8</v>
      </c>
      <c r="K314" t="str">
        <f>PROPER('Original Data'!K314)</f>
        <v>Debit Card</v>
      </c>
      <c r="L314" t="s">
        <v>45</v>
      </c>
      <c r="M314" t="str" cm="1">
        <f t="array" ref="M314">_xlfn.IFS(OR('Original Data'!M314=0,'Original Data'!M314="No",'Original Data'!M314=FALSE),"No",OR('Original Data'!M314=1,'Original Data'!M314="Yes",'Original Data'!M314=TRUE),"Yes")</f>
        <v>Yes</v>
      </c>
    </row>
    <row r="315" spans="1:13" x14ac:dyDescent="0.2">
      <c r="A315">
        <v>314</v>
      </c>
      <c r="B315" t="s">
        <v>85</v>
      </c>
      <c r="C315" s="5">
        <v>45485</v>
      </c>
      <c r="D315" t="s">
        <v>86</v>
      </c>
      <c r="E315" t="s">
        <v>76</v>
      </c>
      <c r="F315" t="s">
        <v>40</v>
      </c>
      <c r="G315" t="s">
        <v>17</v>
      </c>
      <c r="H315">
        <v>4</v>
      </c>
      <c r="I315" s="7">
        <v>0.15</v>
      </c>
      <c r="J315">
        <v>305.83</v>
      </c>
      <c r="K315" t="s">
        <v>90</v>
      </c>
      <c r="M315" t="str" cm="1">
        <f t="array" ref="M315">_xlfn.IFS(OR('Original Data'!M315=0,'Original Data'!M315="No",'Original Data'!M315=FALSE),"No",OR('Original Data'!M315=1,'Original Data'!M315="Yes",'Original Data'!M315=TRUE),"Yes")</f>
        <v>Yes</v>
      </c>
    </row>
    <row r="316" spans="1:13" x14ac:dyDescent="0.2">
      <c r="A316">
        <v>315</v>
      </c>
      <c r="B316" t="s">
        <v>78</v>
      </c>
      <c r="C316" s="5">
        <v>45154</v>
      </c>
      <c r="D316" t="s">
        <v>79</v>
      </c>
      <c r="E316" t="s">
        <v>48</v>
      </c>
      <c r="F316" t="s">
        <v>26</v>
      </c>
      <c r="G316" t="s">
        <v>22</v>
      </c>
      <c r="H316">
        <v>2</v>
      </c>
      <c r="I316" s="7">
        <v>0.1</v>
      </c>
      <c r="J316">
        <v>71.91</v>
      </c>
      <c r="K316" t="str">
        <f>PROPER('Original Data'!K316)</f>
        <v>Cash</v>
      </c>
      <c r="L316" t="s">
        <v>23</v>
      </c>
      <c r="M316" t="str" cm="1">
        <f t="array" ref="M316">_xlfn.IFS(OR('Original Data'!M316=0,'Original Data'!M316="No",'Original Data'!M316=FALSE),"No",OR('Original Data'!M316=1,'Original Data'!M316="Yes",'Original Data'!M316=TRUE),"Yes")</f>
        <v>Yes</v>
      </c>
    </row>
    <row r="317" spans="1:13" x14ac:dyDescent="0.2">
      <c r="A317">
        <v>316</v>
      </c>
      <c r="B317" t="s">
        <v>46</v>
      </c>
      <c r="C317" s="5">
        <v>45068</v>
      </c>
      <c r="D317" t="s">
        <v>47</v>
      </c>
      <c r="E317" t="s">
        <v>48</v>
      </c>
      <c r="F317" t="s">
        <v>66</v>
      </c>
      <c r="G317" t="s">
        <v>67</v>
      </c>
      <c r="H317">
        <v>1</v>
      </c>
      <c r="I317" s="7">
        <v>0.25</v>
      </c>
      <c r="J317">
        <v>37.46</v>
      </c>
      <c r="K317" t="str">
        <f>PROPER('Original Data'!K317)</f>
        <v>Debit Card</v>
      </c>
      <c r="L317" t="s">
        <v>49</v>
      </c>
      <c r="M317" t="str" cm="1">
        <f t="array" ref="M317">_xlfn.IFS(OR('Original Data'!M317=0,'Original Data'!M317="No",'Original Data'!M317=FALSE),"No",OR('Original Data'!M317=1,'Original Data'!M317="Yes",'Original Data'!M317=TRUE),"Yes")</f>
        <v>No</v>
      </c>
    </row>
    <row r="318" spans="1:13" x14ac:dyDescent="0.2">
      <c r="A318">
        <v>317</v>
      </c>
      <c r="B318" t="s">
        <v>83</v>
      </c>
      <c r="C318" s="5">
        <v>45584</v>
      </c>
      <c r="D318" t="s">
        <v>84</v>
      </c>
      <c r="E318" t="s">
        <v>48</v>
      </c>
      <c r="G318" t="s">
        <v>25</v>
      </c>
      <c r="H318">
        <v>2</v>
      </c>
      <c r="I318" s="7">
        <v>0.25</v>
      </c>
      <c r="J318">
        <v>74.930000000000007</v>
      </c>
      <c r="K318" t="s">
        <v>90</v>
      </c>
      <c r="L318" t="s">
        <v>55</v>
      </c>
      <c r="M318" t="str" cm="1">
        <f t="array" ref="M318">_xlfn.IFS(OR('Original Data'!M318=0,'Original Data'!M318="No",'Original Data'!M318=FALSE),"No",OR('Original Data'!M318=1,'Original Data'!M318="Yes",'Original Data'!M318=TRUE),"Yes")</f>
        <v>No</v>
      </c>
    </row>
    <row r="319" spans="1:13" x14ac:dyDescent="0.2">
      <c r="A319">
        <v>318</v>
      </c>
      <c r="B319" t="s">
        <v>19</v>
      </c>
      <c r="C319" s="5">
        <v>45239</v>
      </c>
      <c r="D319" t="str">
        <f>VLOOKUP(B319,'Original Data'!B:D,3,FALSE)</f>
        <v>Denim Jacket</v>
      </c>
      <c r="E319" t="str">
        <f>_xlfn.XLOOKUP('Cleaned Data'!B428,'Original Data'!B:B,'Original Data'!E:E)</f>
        <v>Old Navy</v>
      </c>
      <c r="G319" t="s">
        <v>25</v>
      </c>
      <c r="H319">
        <v>5</v>
      </c>
      <c r="I319" s="7">
        <v>0</v>
      </c>
      <c r="J319">
        <v>449.75</v>
      </c>
      <c r="K319" t="str">
        <f>PROPER('Original Data'!K319)</f>
        <v>Credit Card</v>
      </c>
      <c r="L319" t="s">
        <v>28</v>
      </c>
      <c r="M319" t="s">
        <v>92</v>
      </c>
    </row>
    <row r="320" spans="1:13" x14ac:dyDescent="0.2">
      <c r="A320">
        <v>319</v>
      </c>
      <c r="B320" t="s">
        <v>71</v>
      </c>
      <c r="C320" s="5">
        <v>45223</v>
      </c>
      <c r="D320" t="s">
        <v>72</v>
      </c>
      <c r="E320" t="s">
        <v>33</v>
      </c>
      <c r="F320" t="s">
        <v>44</v>
      </c>
      <c r="H320">
        <v>5</v>
      </c>
      <c r="I320" s="7">
        <v>0</v>
      </c>
      <c r="J320">
        <v>299.75</v>
      </c>
      <c r="K320" t="str">
        <f>PROPER('Original Data'!K320)</f>
        <v>Gift Card</v>
      </c>
      <c r="L320" t="s">
        <v>63</v>
      </c>
      <c r="M320" t="str" cm="1">
        <f t="array" ref="M320">_xlfn.IFS(OR('Original Data'!M320=0,'Original Data'!M320="No",'Original Data'!M320=FALSE),"No",OR('Original Data'!M320=1,'Original Data'!M320="Yes",'Original Data'!M320=TRUE),"Yes")</f>
        <v>Yes</v>
      </c>
    </row>
    <row r="321" spans="1:13" x14ac:dyDescent="0.2">
      <c r="A321">
        <v>320</v>
      </c>
      <c r="B321" t="s">
        <v>61</v>
      </c>
      <c r="C321" s="5">
        <v>45594</v>
      </c>
      <c r="D321" t="s">
        <v>62</v>
      </c>
      <c r="E321" t="s">
        <v>33</v>
      </c>
      <c r="F321" t="s">
        <v>66</v>
      </c>
      <c r="G321" t="s">
        <v>67</v>
      </c>
      <c r="H321">
        <v>4</v>
      </c>
      <c r="I321" s="7">
        <v>0.05</v>
      </c>
      <c r="J321">
        <v>132.96</v>
      </c>
      <c r="K321" t="str">
        <f>PROPER('Original Data'!K321)</f>
        <v>Gift Card</v>
      </c>
      <c r="L321" t="s">
        <v>41</v>
      </c>
      <c r="M321" t="str" cm="1">
        <f t="array" ref="M321">_xlfn.IFS(OR('Original Data'!M321=0,'Original Data'!M321="No",'Original Data'!M321=FALSE),"No",OR('Original Data'!M321=1,'Original Data'!M321="Yes",'Original Data'!M321=TRUE),"Yes")</f>
        <v>No</v>
      </c>
    </row>
    <row r="322" spans="1:13" x14ac:dyDescent="0.2">
      <c r="A322">
        <v>321</v>
      </c>
      <c r="B322" t="s">
        <v>46</v>
      </c>
      <c r="C322" s="5">
        <v>45122</v>
      </c>
      <c r="D322" t="s">
        <v>47</v>
      </c>
      <c r="E322" t="s">
        <v>48</v>
      </c>
      <c r="F322" t="s">
        <v>16</v>
      </c>
      <c r="G322" t="s">
        <v>17</v>
      </c>
      <c r="H322">
        <v>4</v>
      </c>
      <c r="I322" s="7">
        <v>0.2</v>
      </c>
      <c r="J322">
        <v>159.84</v>
      </c>
      <c r="K322" t="str">
        <f>PROPER('Original Data'!K322)</f>
        <v>Cash</v>
      </c>
      <c r="L322" t="s">
        <v>49</v>
      </c>
      <c r="M322" t="str" cm="1">
        <f t="array" ref="M322">_xlfn.IFS(OR('Original Data'!M322=0,'Original Data'!M322="No",'Original Data'!M322=FALSE),"No",OR('Original Data'!M322=1,'Original Data'!M322="Yes",'Original Data'!M322=TRUE),"Yes")</f>
        <v>No</v>
      </c>
    </row>
    <row r="323" spans="1:13" x14ac:dyDescent="0.2">
      <c r="A323">
        <v>322</v>
      </c>
      <c r="B323" t="s">
        <v>58</v>
      </c>
      <c r="C323" s="5">
        <v>45014</v>
      </c>
      <c r="D323" t="s">
        <v>59</v>
      </c>
      <c r="E323" t="s">
        <v>15</v>
      </c>
      <c r="F323" t="s">
        <v>44</v>
      </c>
      <c r="H323">
        <v>2</v>
      </c>
      <c r="I323" s="7">
        <v>0.05</v>
      </c>
      <c r="J323">
        <v>113.9</v>
      </c>
      <c r="K323" t="str">
        <f>PROPER('Original Data'!K323)</f>
        <v>Debit Card</v>
      </c>
      <c r="L323" t="s">
        <v>49</v>
      </c>
      <c r="M323" t="str" cm="1">
        <f t="array" ref="M323">_xlfn.IFS(OR('Original Data'!M323=0,'Original Data'!M323="No",'Original Data'!M323=FALSE),"No",OR('Original Data'!M323=1,'Original Data'!M323="Yes",'Original Data'!M323=TRUE),"Yes")</f>
        <v>Yes</v>
      </c>
    </row>
    <row r="324" spans="1:13" x14ac:dyDescent="0.2">
      <c r="A324">
        <v>323</v>
      </c>
      <c r="B324" t="s">
        <v>24</v>
      </c>
      <c r="C324" s="5">
        <v>45477</v>
      </c>
      <c r="D324" t="s">
        <v>87</v>
      </c>
      <c r="E324" t="s">
        <v>39</v>
      </c>
      <c r="F324" t="s">
        <v>53</v>
      </c>
      <c r="G324" t="s">
        <v>54</v>
      </c>
      <c r="H324">
        <v>4</v>
      </c>
      <c r="I324" s="7">
        <v>0</v>
      </c>
      <c r="J324">
        <v>179.8</v>
      </c>
      <c r="K324" t="str">
        <f>PROPER('Original Data'!K324)</f>
        <v>Debit Card</v>
      </c>
      <c r="L324" t="s">
        <v>49</v>
      </c>
      <c r="M324" t="str" cm="1">
        <f t="array" ref="M324">_xlfn.IFS(OR('Original Data'!M324=0,'Original Data'!M324="No",'Original Data'!M324=FALSE),"No",OR('Original Data'!M324=1,'Original Data'!M324="Yes",'Original Data'!M324=TRUE),"Yes")</f>
        <v>Yes</v>
      </c>
    </row>
    <row r="325" spans="1:13" x14ac:dyDescent="0.2">
      <c r="A325">
        <v>324</v>
      </c>
      <c r="B325" t="s">
        <v>64</v>
      </c>
      <c r="C325" s="5">
        <v>45640</v>
      </c>
      <c r="D325" t="s">
        <v>65</v>
      </c>
      <c r="E325" t="s">
        <v>33</v>
      </c>
      <c r="F325" t="s">
        <v>26</v>
      </c>
      <c r="G325" t="s">
        <v>22</v>
      </c>
      <c r="H325">
        <v>2</v>
      </c>
      <c r="I325" s="7">
        <v>0</v>
      </c>
      <c r="J325">
        <v>149.9</v>
      </c>
      <c r="K325" t="str">
        <f>PROPER('Original Data'!K325)</f>
        <v>Debit Card</v>
      </c>
      <c r="L325" t="s">
        <v>30</v>
      </c>
      <c r="M325" t="str" cm="1">
        <f t="array" ref="M325">_xlfn.IFS(OR('Original Data'!M325=0,'Original Data'!M325="No",'Original Data'!M325=FALSE),"No",OR('Original Data'!M325=1,'Original Data'!M325="Yes",'Original Data'!M325=TRUE),"Yes")</f>
        <v>No</v>
      </c>
    </row>
    <row r="326" spans="1:13" x14ac:dyDescent="0.2">
      <c r="A326">
        <v>325</v>
      </c>
      <c r="B326" t="s">
        <v>13</v>
      </c>
      <c r="C326" s="5">
        <v>45447</v>
      </c>
      <c r="D326" t="s">
        <v>14</v>
      </c>
      <c r="E326" t="s">
        <v>15</v>
      </c>
      <c r="F326" t="s">
        <v>16</v>
      </c>
      <c r="G326" t="s">
        <v>17</v>
      </c>
      <c r="H326">
        <v>3</v>
      </c>
      <c r="I326" s="7">
        <v>0.2</v>
      </c>
      <c r="J326">
        <v>47.98</v>
      </c>
      <c r="K326" t="str">
        <f>PROPER('Original Data'!K326)</f>
        <v>Gift Card</v>
      </c>
      <c r="L326" t="s">
        <v>63</v>
      </c>
      <c r="M326" t="str" cm="1">
        <f t="array" ref="M326">_xlfn.IFS(OR('Original Data'!M326=0,'Original Data'!M326="No",'Original Data'!M326=FALSE),"No",OR('Original Data'!M326=1,'Original Data'!M326="Yes",'Original Data'!M326=TRUE),"Yes")</f>
        <v>No</v>
      </c>
    </row>
    <row r="327" spans="1:13" x14ac:dyDescent="0.2">
      <c r="A327">
        <v>326</v>
      </c>
      <c r="B327" t="s">
        <v>58</v>
      </c>
      <c r="C327" s="5">
        <v>45329</v>
      </c>
      <c r="D327" t="s">
        <v>59</v>
      </c>
      <c r="E327" t="s">
        <v>15</v>
      </c>
      <c r="F327" t="s">
        <v>26</v>
      </c>
      <c r="G327" t="s">
        <v>22</v>
      </c>
      <c r="H327">
        <v>2</v>
      </c>
      <c r="I327" s="7">
        <v>0.1</v>
      </c>
      <c r="J327">
        <v>107.91</v>
      </c>
      <c r="K327" t="str">
        <f>PROPER('Original Data'!K327)</f>
        <v>Gift Card</v>
      </c>
      <c r="L327" t="s">
        <v>49</v>
      </c>
      <c r="M327" t="str" cm="1">
        <f t="array" ref="M327">_xlfn.IFS(OR('Original Data'!M327=0,'Original Data'!M327="No",'Original Data'!M327=FALSE),"No",OR('Original Data'!M327=1,'Original Data'!M327="Yes",'Original Data'!M327=TRUE),"Yes")</f>
        <v>Yes</v>
      </c>
    </row>
    <row r="328" spans="1:13" x14ac:dyDescent="0.2">
      <c r="A328">
        <v>327</v>
      </c>
      <c r="B328" t="s">
        <v>74</v>
      </c>
      <c r="C328" s="5">
        <v>45276</v>
      </c>
      <c r="D328" t="s">
        <v>75</v>
      </c>
      <c r="E328" t="s">
        <v>76</v>
      </c>
      <c r="F328" t="s">
        <v>53</v>
      </c>
      <c r="G328" t="s">
        <v>54</v>
      </c>
      <c r="H328">
        <v>1</v>
      </c>
      <c r="I328" s="7">
        <v>0.1</v>
      </c>
      <c r="J328">
        <v>40.46</v>
      </c>
      <c r="K328" t="str">
        <f>PROPER('Original Data'!K328)</f>
        <v>Debit Card</v>
      </c>
      <c r="L328" t="s">
        <v>63</v>
      </c>
      <c r="M328" t="str" cm="1">
        <f t="array" ref="M328">_xlfn.IFS(OR('Original Data'!M328=0,'Original Data'!M328="No",'Original Data'!M328=FALSE),"No",OR('Original Data'!M328=1,'Original Data'!M328="Yes",'Original Data'!M328=TRUE),"Yes")</f>
        <v>No</v>
      </c>
    </row>
    <row r="329" spans="1:13" x14ac:dyDescent="0.2">
      <c r="A329">
        <v>328</v>
      </c>
      <c r="B329" t="s">
        <v>81</v>
      </c>
      <c r="C329" s="5">
        <v>45264</v>
      </c>
      <c r="D329" t="s">
        <v>82</v>
      </c>
      <c r="E329" t="s">
        <v>15</v>
      </c>
      <c r="F329" t="s">
        <v>34</v>
      </c>
      <c r="G329" t="s">
        <v>35</v>
      </c>
      <c r="H329">
        <v>2</v>
      </c>
      <c r="I329" s="7">
        <v>0.2</v>
      </c>
      <c r="J329">
        <v>127.92</v>
      </c>
      <c r="K329" t="s">
        <v>90</v>
      </c>
      <c r="L329" t="s">
        <v>30</v>
      </c>
      <c r="M329" t="str" cm="1">
        <f t="array" ref="M329">_xlfn.IFS(OR('Original Data'!M329=0,'Original Data'!M329="No",'Original Data'!M329=FALSE),"No",OR('Original Data'!M329=1,'Original Data'!M329="Yes",'Original Data'!M329=TRUE),"Yes")</f>
        <v>Yes</v>
      </c>
    </row>
    <row r="330" spans="1:13" x14ac:dyDescent="0.2">
      <c r="A330">
        <v>329</v>
      </c>
      <c r="B330" t="s">
        <v>85</v>
      </c>
      <c r="C330" s="5">
        <v>45497</v>
      </c>
      <c r="D330" t="s">
        <v>86</v>
      </c>
      <c r="E330" t="s">
        <v>76</v>
      </c>
      <c r="F330" t="s">
        <v>66</v>
      </c>
      <c r="G330" t="s">
        <v>67</v>
      </c>
      <c r="H330">
        <v>2</v>
      </c>
      <c r="I330" s="7">
        <v>0</v>
      </c>
      <c r="J330">
        <v>179.9</v>
      </c>
      <c r="K330" t="str">
        <f>PROPER('Original Data'!K330)</f>
        <v>Credit Card</v>
      </c>
      <c r="L330" t="s">
        <v>49</v>
      </c>
      <c r="M330" t="str" cm="1">
        <f t="array" ref="M330">_xlfn.IFS(OR('Original Data'!M330=0,'Original Data'!M330="No",'Original Data'!M330=FALSE),"No",OR('Original Data'!M330=1,'Original Data'!M330="Yes",'Original Data'!M330=TRUE),"Yes")</f>
        <v>Yes</v>
      </c>
    </row>
    <row r="331" spans="1:13" x14ac:dyDescent="0.2">
      <c r="A331">
        <v>330</v>
      </c>
      <c r="B331" t="s">
        <v>85</v>
      </c>
      <c r="C331" s="5">
        <v>45119</v>
      </c>
      <c r="D331" t="s">
        <v>86</v>
      </c>
      <c r="E331" t="s">
        <v>76</v>
      </c>
      <c r="F331" t="s">
        <v>21</v>
      </c>
      <c r="G331" t="s">
        <v>22</v>
      </c>
      <c r="H331">
        <v>3</v>
      </c>
      <c r="I331" s="7">
        <v>0.25</v>
      </c>
      <c r="J331">
        <v>202.39</v>
      </c>
      <c r="K331" t="str">
        <f>PROPER('Original Data'!K331)</f>
        <v>Debit Card</v>
      </c>
      <c r="L331" t="s">
        <v>30</v>
      </c>
      <c r="M331" t="str" cm="1">
        <f t="array" ref="M331">_xlfn.IFS(OR('Original Data'!M331=0,'Original Data'!M331="No",'Original Data'!M331=FALSE),"No",OR('Original Data'!M331=1,'Original Data'!M331="Yes",'Original Data'!M331=TRUE),"Yes")</f>
        <v>Yes</v>
      </c>
    </row>
    <row r="332" spans="1:13" x14ac:dyDescent="0.2">
      <c r="A332">
        <v>331</v>
      </c>
      <c r="B332" t="s">
        <v>13</v>
      </c>
      <c r="C332" s="5">
        <v>45441</v>
      </c>
      <c r="D332" t="s">
        <v>14</v>
      </c>
      <c r="E332" t="s">
        <v>15</v>
      </c>
      <c r="F332" t="s">
        <v>34</v>
      </c>
      <c r="G332" t="s">
        <v>35</v>
      </c>
      <c r="H332">
        <v>3</v>
      </c>
      <c r="I332" s="7">
        <v>0</v>
      </c>
      <c r="J332">
        <v>59.97</v>
      </c>
      <c r="K332" t="str">
        <f>PROPER('Original Data'!K332)</f>
        <v>Debit Card</v>
      </c>
      <c r="L332" t="s">
        <v>41</v>
      </c>
      <c r="M332" t="str" cm="1">
        <f t="array" ref="M332">_xlfn.IFS(OR('Original Data'!M332=0,'Original Data'!M332="No",'Original Data'!M332=FALSE),"No",OR('Original Data'!M332=1,'Original Data'!M332="Yes",'Original Data'!M332=TRUE),"Yes")</f>
        <v>No</v>
      </c>
    </row>
    <row r="333" spans="1:13" x14ac:dyDescent="0.2">
      <c r="A333">
        <v>332</v>
      </c>
      <c r="B333" t="s">
        <v>64</v>
      </c>
      <c r="C333" s="5">
        <v>44994</v>
      </c>
      <c r="D333" t="s">
        <v>65</v>
      </c>
      <c r="E333" t="s">
        <v>33</v>
      </c>
      <c r="F333" t="s">
        <v>26</v>
      </c>
      <c r="G333" t="s">
        <v>22</v>
      </c>
      <c r="H333">
        <v>4</v>
      </c>
      <c r="I333" s="7">
        <v>0.05</v>
      </c>
      <c r="J333">
        <v>284.81</v>
      </c>
      <c r="K333" t="str">
        <f>PROPER('Original Data'!K333)</f>
        <v>Debit Card</v>
      </c>
      <c r="L333" t="s">
        <v>63</v>
      </c>
      <c r="M333" t="str" cm="1">
        <f t="array" ref="M333">_xlfn.IFS(OR('Original Data'!M333=0,'Original Data'!M333="No",'Original Data'!M333=FALSE),"No",OR('Original Data'!M333=1,'Original Data'!M333="Yes",'Original Data'!M333=TRUE),"Yes")</f>
        <v>No</v>
      </c>
    </row>
    <row r="334" spans="1:13" x14ac:dyDescent="0.2">
      <c r="A334">
        <v>333</v>
      </c>
      <c r="B334" t="s">
        <v>71</v>
      </c>
      <c r="C334" s="5">
        <v>45512</v>
      </c>
      <c r="D334" t="s">
        <v>72</v>
      </c>
      <c r="E334" t="s">
        <v>33</v>
      </c>
      <c r="F334" t="s">
        <v>26</v>
      </c>
      <c r="G334" t="s">
        <v>22</v>
      </c>
      <c r="H334">
        <v>4</v>
      </c>
      <c r="I334" s="7">
        <v>0</v>
      </c>
      <c r="J334">
        <v>239.8</v>
      </c>
      <c r="K334" t="s">
        <v>90</v>
      </c>
      <c r="M334" t="str" cm="1">
        <f t="array" ref="M334">_xlfn.IFS(OR('Original Data'!M334=0,'Original Data'!M334="No",'Original Data'!M334=FALSE),"No",OR('Original Data'!M334=1,'Original Data'!M334="Yes",'Original Data'!M334=TRUE),"Yes")</f>
        <v>Yes</v>
      </c>
    </row>
    <row r="335" spans="1:13" x14ac:dyDescent="0.2">
      <c r="A335">
        <v>334</v>
      </c>
      <c r="B335" t="s">
        <v>58</v>
      </c>
      <c r="C335" s="5">
        <v>45225</v>
      </c>
      <c r="D335" t="s">
        <v>59</v>
      </c>
      <c r="E335" t="s">
        <v>15</v>
      </c>
      <c r="F335" t="s">
        <v>21</v>
      </c>
      <c r="G335" t="s">
        <v>22</v>
      </c>
      <c r="H335">
        <v>5</v>
      </c>
      <c r="I335" s="7">
        <v>0.2</v>
      </c>
      <c r="J335">
        <v>239.8</v>
      </c>
      <c r="K335" t="str">
        <f>PROPER('Original Data'!K335)</f>
        <v>Debit Card</v>
      </c>
      <c r="M335" t="str" cm="1">
        <f t="array" ref="M335">_xlfn.IFS(OR('Original Data'!M335=0,'Original Data'!M335="No",'Original Data'!M335=FALSE),"No",OR('Original Data'!M335=1,'Original Data'!M335="Yes",'Original Data'!M335=TRUE),"Yes")</f>
        <v>Yes</v>
      </c>
    </row>
    <row r="336" spans="1:13" x14ac:dyDescent="0.2">
      <c r="A336">
        <v>335</v>
      </c>
      <c r="B336" t="s">
        <v>24</v>
      </c>
      <c r="C336" s="5">
        <v>45526</v>
      </c>
      <c r="D336" t="s">
        <v>87</v>
      </c>
      <c r="E336" t="s">
        <v>39</v>
      </c>
      <c r="F336" t="s">
        <v>66</v>
      </c>
      <c r="G336" t="s">
        <v>67</v>
      </c>
      <c r="H336">
        <v>4</v>
      </c>
      <c r="I336" s="7">
        <v>0</v>
      </c>
      <c r="J336">
        <v>179.8</v>
      </c>
      <c r="K336" t="str">
        <f>PROPER('Original Data'!K336)</f>
        <v>Debit Card</v>
      </c>
      <c r="L336" t="s">
        <v>55</v>
      </c>
      <c r="M336" t="str" cm="1">
        <f t="array" ref="M336">_xlfn.IFS(OR('Original Data'!M336=0,'Original Data'!M336="No",'Original Data'!M336=FALSE),"No",OR('Original Data'!M336=1,'Original Data'!M336="Yes",'Original Data'!M336=TRUE),"Yes")</f>
        <v>Yes</v>
      </c>
    </row>
    <row r="337" spans="1:13" x14ac:dyDescent="0.2">
      <c r="A337">
        <v>336</v>
      </c>
      <c r="B337" t="s">
        <v>88</v>
      </c>
      <c r="C337" s="5">
        <v>45650</v>
      </c>
      <c r="D337" t="s">
        <v>89</v>
      </c>
      <c r="E337" t="s">
        <v>33</v>
      </c>
      <c r="F337" t="s">
        <v>53</v>
      </c>
      <c r="G337" t="s">
        <v>54</v>
      </c>
      <c r="H337">
        <v>2</v>
      </c>
      <c r="I337" s="7">
        <v>0</v>
      </c>
      <c r="J337">
        <v>396</v>
      </c>
      <c r="K337" t="str">
        <f>PROPER('Original Data'!K337)</f>
        <v>Credit Card</v>
      </c>
      <c r="L337" t="s">
        <v>55</v>
      </c>
      <c r="M337" t="str" cm="1">
        <f t="array" ref="M337">_xlfn.IFS(OR('Original Data'!M337=0,'Original Data'!M337="No",'Original Data'!M337=FALSE),"No",OR('Original Data'!M337=1,'Original Data'!M337="Yes",'Original Data'!M337=TRUE),"Yes")</f>
        <v>No</v>
      </c>
    </row>
    <row r="338" spans="1:13" x14ac:dyDescent="0.2">
      <c r="A338">
        <v>337</v>
      </c>
      <c r="B338" t="s">
        <v>58</v>
      </c>
      <c r="C338" s="5">
        <v>45075</v>
      </c>
      <c r="D338" t="s">
        <v>59</v>
      </c>
      <c r="E338" t="s">
        <v>15</v>
      </c>
      <c r="F338" t="s">
        <v>21</v>
      </c>
      <c r="G338" t="s">
        <v>22</v>
      </c>
      <c r="H338">
        <v>2</v>
      </c>
      <c r="I338" s="7">
        <v>0.15</v>
      </c>
      <c r="J338">
        <v>101.92</v>
      </c>
      <c r="K338" t="str">
        <f>PROPER('Original Data'!K338)</f>
        <v>Debit Card</v>
      </c>
      <c r="L338" t="s">
        <v>45</v>
      </c>
      <c r="M338" t="str" cm="1">
        <f t="array" ref="M338">_xlfn.IFS(OR('Original Data'!M338=0,'Original Data'!M338="No",'Original Data'!M338=FALSE),"No",OR('Original Data'!M338=1,'Original Data'!M338="Yes",'Original Data'!M338=TRUE),"Yes")</f>
        <v>Yes</v>
      </c>
    </row>
    <row r="339" spans="1:13" x14ac:dyDescent="0.2">
      <c r="A339">
        <v>338</v>
      </c>
      <c r="B339" t="s">
        <v>37</v>
      </c>
      <c r="C339" s="5">
        <v>45436</v>
      </c>
      <c r="D339" t="s">
        <v>38</v>
      </c>
      <c r="E339" t="s">
        <v>39</v>
      </c>
      <c r="F339" t="s">
        <v>66</v>
      </c>
      <c r="G339" t="s">
        <v>67</v>
      </c>
      <c r="H339">
        <v>1</v>
      </c>
      <c r="I339" s="7">
        <v>0.1</v>
      </c>
      <c r="J339">
        <v>58.46</v>
      </c>
      <c r="K339" t="str">
        <f>PROPER('Original Data'!K339)</f>
        <v>Gift Card</v>
      </c>
      <c r="L339" t="s">
        <v>23</v>
      </c>
      <c r="M339" t="str" cm="1">
        <f t="array" ref="M339">_xlfn.IFS(OR('Original Data'!M339=0,'Original Data'!M339="No",'Original Data'!M339=FALSE),"No",OR('Original Data'!M339=1,'Original Data'!M339="Yes",'Original Data'!M339=TRUE),"Yes")</f>
        <v>Yes</v>
      </c>
    </row>
    <row r="340" spans="1:13" x14ac:dyDescent="0.2">
      <c r="A340">
        <v>339</v>
      </c>
      <c r="B340" t="s">
        <v>71</v>
      </c>
      <c r="C340" s="5">
        <v>45211</v>
      </c>
      <c r="D340" t="s">
        <v>72</v>
      </c>
      <c r="E340" t="s">
        <v>33</v>
      </c>
      <c r="F340" t="s">
        <v>16</v>
      </c>
      <c r="G340" t="s">
        <v>17</v>
      </c>
      <c r="H340">
        <v>5</v>
      </c>
      <c r="I340" s="7">
        <v>0</v>
      </c>
      <c r="J340">
        <v>299.75</v>
      </c>
      <c r="K340" t="s">
        <v>90</v>
      </c>
      <c r="L340" t="s">
        <v>63</v>
      </c>
      <c r="M340" t="str" cm="1">
        <f t="array" ref="M340">_xlfn.IFS(OR('Original Data'!M340=0,'Original Data'!M340="No",'Original Data'!M340=FALSE),"No",OR('Original Data'!M340=1,'Original Data'!M340="Yes",'Original Data'!M340=TRUE),"Yes")</f>
        <v>Yes</v>
      </c>
    </row>
    <row r="341" spans="1:13" x14ac:dyDescent="0.2">
      <c r="A341">
        <v>340</v>
      </c>
      <c r="B341" t="s">
        <v>88</v>
      </c>
      <c r="C341" s="5">
        <v>45109</v>
      </c>
      <c r="D341" t="s">
        <v>89</v>
      </c>
      <c r="E341" t="s">
        <v>33</v>
      </c>
      <c r="F341" t="s">
        <v>53</v>
      </c>
      <c r="G341" t="s">
        <v>54</v>
      </c>
      <c r="H341">
        <v>1</v>
      </c>
      <c r="I341" s="7">
        <v>0</v>
      </c>
      <c r="J341">
        <v>198</v>
      </c>
      <c r="K341" t="str">
        <f>PROPER('Original Data'!K341)</f>
        <v>Gift Card</v>
      </c>
      <c r="L341" t="s">
        <v>55</v>
      </c>
      <c r="M341" t="str" cm="1">
        <f t="array" ref="M341">_xlfn.IFS(OR('Original Data'!M341=0,'Original Data'!M341="No",'Original Data'!M341=FALSE),"No",OR('Original Data'!M341=1,'Original Data'!M341="Yes",'Original Data'!M341=TRUE),"Yes")</f>
        <v>No</v>
      </c>
    </row>
    <row r="342" spans="1:13" x14ac:dyDescent="0.2">
      <c r="A342">
        <v>341</v>
      </c>
      <c r="B342" t="s">
        <v>42</v>
      </c>
      <c r="C342" s="5">
        <v>44996</v>
      </c>
      <c r="D342" t="s">
        <v>91</v>
      </c>
      <c r="E342" t="s">
        <v>15</v>
      </c>
      <c r="F342" t="s">
        <v>26</v>
      </c>
      <c r="G342" t="s">
        <v>22</v>
      </c>
      <c r="H342">
        <v>3</v>
      </c>
      <c r="I342" s="7">
        <v>0.15</v>
      </c>
      <c r="J342">
        <v>328.95</v>
      </c>
      <c r="K342" t="str">
        <f>PROPER('Original Data'!K342)</f>
        <v>Gift Card</v>
      </c>
      <c r="L342" t="s">
        <v>49</v>
      </c>
      <c r="M342" t="str" cm="1">
        <f t="array" ref="M342">_xlfn.IFS(OR('Original Data'!M342=0,'Original Data'!M342="No",'Original Data'!M342=FALSE),"No",OR('Original Data'!M342=1,'Original Data'!M342="Yes",'Original Data'!M342=TRUE),"Yes")</f>
        <v>Yes</v>
      </c>
    </row>
    <row r="343" spans="1:13" x14ac:dyDescent="0.2">
      <c r="A343">
        <v>342</v>
      </c>
      <c r="B343" t="s">
        <v>37</v>
      </c>
      <c r="C343" s="5">
        <v>45571</v>
      </c>
      <c r="D343" t="s">
        <v>38</v>
      </c>
      <c r="E343" t="s">
        <v>39</v>
      </c>
      <c r="F343" t="s">
        <v>34</v>
      </c>
      <c r="G343" t="s">
        <v>35</v>
      </c>
      <c r="H343">
        <v>5</v>
      </c>
      <c r="I343" s="7">
        <v>0</v>
      </c>
      <c r="J343">
        <v>324.75</v>
      </c>
      <c r="K343" t="s">
        <v>90</v>
      </c>
      <c r="L343" t="s">
        <v>55</v>
      </c>
      <c r="M343" t="str" cm="1">
        <f t="array" ref="M343">_xlfn.IFS(OR('Original Data'!M343=0,'Original Data'!M343="No",'Original Data'!M343=FALSE),"No",OR('Original Data'!M343=1,'Original Data'!M343="Yes",'Original Data'!M343=TRUE),"Yes")</f>
        <v>Yes</v>
      </c>
    </row>
    <row r="344" spans="1:13" x14ac:dyDescent="0.2">
      <c r="A344">
        <v>343</v>
      </c>
      <c r="B344" t="s">
        <v>61</v>
      </c>
      <c r="C344" s="5">
        <v>45111</v>
      </c>
      <c r="D344" t="s">
        <v>62</v>
      </c>
      <c r="E344" t="s">
        <v>33</v>
      </c>
      <c r="F344" t="s">
        <v>40</v>
      </c>
      <c r="G344" t="s">
        <v>17</v>
      </c>
      <c r="H344">
        <v>5</v>
      </c>
      <c r="I344" s="7">
        <v>0.25</v>
      </c>
      <c r="J344">
        <v>131.21</v>
      </c>
      <c r="K344" t="str">
        <f>PROPER('Original Data'!K344)</f>
        <v>Gift Card</v>
      </c>
      <c r="L344" t="s">
        <v>41</v>
      </c>
      <c r="M344" t="str" cm="1">
        <f t="array" ref="M344">_xlfn.IFS(OR('Original Data'!M344=0,'Original Data'!M344="No",'Original Data'!M344=FALSE),"No",OR('Original Data'!M344=1,'Original Data'!M344="Yes",'Original Data'!M344=TRUE),"Yes")</f>
        <v>No</v>
      </c>
    </row>
    <row r="345" spans="1:13" x14ac:dyDescent="0.2">
      <c r="A345">
        <v>344</v>
      </c>
      <c r="B345" t="s">
        <v>85</v>
      </c>
      <c r="C345" s="5">
        <v>45579</v>
      </c>
      <c r="D345" t="s">
        <v>86</v>
      </c>
      <c r="E345" t="s">
        <v>76</v>
      </c>
      <c r="G345" t="s">
        <v>25</v>
      </c>
      <c r="H345">
        <v>1</v>
      </c>
      <c r="I345" s="7">
        <v>0.15</v>
      </c>
      <c r="J345">
        <v>76.459999999999994</v>
      </c>
      <c r="K345" t="s">
        <v>90</v>
      </c>
      <c r="L345" t="s">
        <v>49</v>
      </c>
      <c r="M345" t="str" cm="1">
        <f t="array" ref="M345">_xlfn.IFS(OR('Original Data'!M345=0,'Original Data'!M345="No",'Original Data'!M345=FALSE),"No",OR('Original Data'!M345=1,'Original Data'!M345="Yes",'Original Data'!M345=TRUE),"Yes")</f>
        <v>Yes</v>
      </c>
    </row>
    <row r="346" spans="1:13" x14ac:dyDescent="0.2">
      <c r="A346">
        <v>345</v>
      </c>
      <c r="B346" t="s">
        <v>74</v>
      </c>
      <c r="C346" s="5">
        <v>45265</v>
      </c>
      <c r="D346" t="s">
        <v>75</v>
      </c>
      <c r="E346" t="s">
        <v>76</v>
      </c>
      <c r="F346" t="s">
        <v>40</v>
      </c>
      <c r="G346" t="s">
        <v>17</v>
      </c>
      <c r="H346">
        <v>5</v>
      </c>
      <c r="J346">
        <v>224.75</v>
      </c>
      <c r="K346" t="str">
        <f>PROPER('Original Data'!K346)</f>
        <v>Debit Card</v>
      </c>
      <c r="L346" t="s">
        <v>45</v>
      </c>
      <c r="M346" t="str" cm="1">
        <f t="array" ref="M346">_xlfn.IFS(OR('Original Data'!M346=0,'Original Data'!M346="No",'Original Data'!M346=FALSE),"No",OR('Original Data'!M346=1,'Original Data'!M346="Yes",'Original Data'!M346=TRUE),"Yes")</f>
        <v>No</v>
      </c>
    </row>
    <row r="347" spans="1:13" x14ac:dyDescent="0.2">
      <c r="A347">
        <v>346</v>
      </c>
      <c r="B347" t="s">
        <v>24</v>
      </c>
      <c r="C347" s="5">
        <v>45621</v>
      </c>
      <c r="D347" t="s">
        <v>87</v>
      </c>
      <c r="E347" t="s">
        <v>39</v>
      </c>
      <c r="F347" t="s">
        <v>40</v>
      </c>
      <c r="G347" t="s">
        <v>17</v>
      </c>
      <c r="H347">
        <v>4</v>
      </c>
      <c r="I347" s="7">
        <v>0</v>
      </c>
      <c r="J347">
        <v>179.8</v>
      </c>
      <c r="K347" t="s">
        <v>90</v>
      </c>
      <c r="L347" t="s">
        <v>30</v>
      </c>
      <c r="M347" t="str" cm="1">
        <f t="array" ref="M347">_xlfn.IFS(OR('Original Data'!M347=0,'Original Data'!M347="No",'Original Data'!M347=FALSE),"No",OR('Original Data'!M347=1,'Original Data'!M347="Yes",'Original Data'!M347=TRUE),"Yes")</f>
        <v>Yes</v>
      </c>
    </row>
    <row r="348" spans="1:13" x14ac:dyDescent="0.2">
      <c r="A348">
        <v>347</v>
      </c>
      <c r="B348" t="s">
        <v>64</v>
      </c>
      <c r="C348" s="5">
        <v>45474</v>
      </c>
      <c r="D348" t="s">
        <v>65</v>
      </c>
      <c r="E348" t="s">
        <v>33</v>
      </c>
      <c r="F348" t="s">
        <v>66</v>
      </c>
      <c r="G348" t="s">
        <v>67</v>
      </c>
      <c r="H348">
        <v>1</v>
      </c>
      <c r="I348" s="7">
        <v>0.15</v>
      </c>
      <c r="J348">
        <v>63.71</v>
      </c>
      <c r="K348" t="str">
        <f>PROPER('Original Data'!K348)</f>
        <v>Apple Pay</v>
      </c>
      <c r="L348" t="s">
        <v>28</v>
      </c>
      <c r="M348" t="str" cm="1">
        <f t="array" ref="M348">_xlfn.IFS(OR('Original Data'!M348=0,'Original Data'!M348="No",'Original Data'!M348=FALSE),"No",OR('Original Data'!M348=1,'Original Data'!M348="Yes",'Original Data'!M348=TRUE),"Yes")</f>
        <v>No</v>
      </c>
    </row>
    <row r="349" spans="1:13" x14ac:dyDescent="0.2">
      <c r="A349">
        <v>348</v>
      </c>
      <c r="B349" t="s">
        <v>19</v>
      </c>
      <c r="C349" s="5">
        <v>45464</v>
      </c>
      <c r="D349" t="s">
        <v>20</v>
      </c>
      <c r="E349" t="s">
        <v>15</v>
      </c>
      <c r="F349" t="s">
        <v>44</v>
      </c>
      <c r="H349">
        <v>3</v>
      </c>
      <c r="I349" s="7">
        <v>0.25</v>
      </c>
      <c r="J349">
        <v>202.39</v>
      </c>
      <c r="K349" t="str">
        <f>PROPER('Original Data'!K349)</f>
        <v>Debit Card</v>
      </c>
      <c r="L349" t="s">
        <v>30</v>
      </c>
      <c r="M349" t="str" cm="1">
        <f t="array" ref="M349">_xlfn.IFS(OR('Original Data'!M349=0,'Original Data'!M349="No",'Original Data'!M349=FALSE),"No",OR('Original Data'!M349=1,'Original Data'!M349="Yes",'Original Data'!M349=TRUE),"Yes")</f>
        <v>Yes</v>
      </c>
    </row>
    <row r="350" spans="1:13" x14ac:dyDescent="0.2">
      <c r="A350">
        <v>349</v>
      </c>
      <c r="B350" t="s">
        <v>37</v>
      </c>
      <c r="C350" s="5">
        <v>45073</v>
      </c>
      <c r="D350" t="s">
        <v>38</v>
      </c>
      <c r="E350" t="s">
        <v>39</v>
      </c>
      <c r="F350" t="s">
        <v>66</v>
      </c>
      <c r="G350" t="s">
        <v>67</v>
      </c>
      <c r="H350">
        <v>3</v>
      </c>
      <c r="I350" s="7">
        <v>0.25</v>
      </c>
      <c r="J350">
        <v>146.13999999999999</v>
      </c>
      <c r="K350" t="str">
        <f>PROPER('Original Data'!K350)</f>
        <v>Cash</v>
      </c>
      <c r="L350" t="s">
        <v>30</v>
      </c>
      <c r="M350" t="str" cm="1">
        <f t="array" ref="M350">_xlfn.IFS(OR('Original Data'!M350=0,'Original Data'!M350="No",'Original Data'!M350=FALSE),"No",OR('Original Data'!M350=1,'Original Data'!M350="Yes",'Original Data'!M350=TRUE),"Yes")</f>
        <v>Yes</v>
      </c>
    </row>
    <row r="351" spans="1:13" x14ac:dyDescent="0.2">
      <c r="A351">
        <v>350</v>
      </c>
      <c r="B351" t="s">
        <v>50</v>
      </c>
      <c r="C351" s="5">
        <v>44974</v>
      </c>
      <c r="D351" t="s">
        <v>51</v>
      </c>
      <c r="E351" t="s">
        <v>15</v>
      </c>
      <c r="F351" t="s">
        <v>26</v>
      </c>
      <c r="G351" t="s">
        <v>22</v>
      </c>
      <c r="H351">
        <v>1</v>
      </c>
      <c r="I351" s="7">
        <v>0</v>
      </c>
      <c r="J351">
        <v>69.95</v>
      </c>
      <c r="K351" t="str">
        <f>PROPER('Original Data'!K351)</f>
        <v>Gift Card</v>
      </c>
      <c r="L351" t="s">
        <v>49</v>
      </c>
      <c r="M351" t="str" cm="1">
        <f t="array" ref="M351">_xlfn.IFS(OR('Original Data'!M351=0,'Original Data'!M351="No",'Original Data'!M351=FALSE),"No",OR('Original Data'!M351=1,'Original Data'!M351="Yes",'Original Data'!M351=TRUE),"Yes")</f>
        <v>No</v>
      </c>
    </row>
    <row r="352" spans="1:13" x14ac:dyDescent="0.2">
      <c r="A352">
        <v>351</v>
      </c>
      <c r="B352" t="s">
        <v>56</v>
      </c>
      <c r="C352" s="5">
        <v>45079</v>
      </c>
      <c r="D352" t="s">
        <v>57</v>
      </c>
      <c r="E352" t="s">
        <v>48</v>
      </c>
      <c r="F352" t="s">
        <v>53</v>
      </c>
      <c r="G352" t="s">
        <v>54</v>
      </c>
      <c r="H352">
        <v>3</v>
      </c>
      <c r="I352" s="7">
        <v>0.25</v>
      </c>
      <c r="J352">
        <v>191.25</v>
      </c>
      <c r="K352" t="str">
        <f>PROPER('Original Data'!K352)</f>
        <v>Cash</v>
      </c>
      <c r="L352" t="s">
        <v>55</v>
      </c>
      <c r="M352" t="str" cm="1">
        <f t="array" ref="M352">_xlfn.IFS(OR('Original Data'!M352=0,'Original Data'!M352="No",'Original Data'!M352=FALSE),"No",OR('Original Data'!M352=1,'Original Data'!M352="Yes",'Original Data'!M352=TRUE),"Yes")</f>
        <v>Yes</v>
      </c>
    </row>
    <row r="353" spans="1:13" x14ac:dyDescent="0.2">
      <c r="A353">
        <v>352</v>
      </c>
      <c r="B353" t="s">
        <v>50</v>
      </c>
      <c r="C353" s="5">
        <v>45245</v>
      </c>
      <c r="D353" t="str">
        <f>VLOOKUP(B353,'Original Data'!B:D,3,FALSE)</f>
        <v>High-Rise Jeans</v>
      </c>
      <c r="E353" t="str">
        <f>_xlfn.XLOOKUP('Cleaned Data'!B544,'Original Data'!B:B,'Original Data'!E:E)</f>
        <v>GAP</v>
      </c>
      <c r="F353" t="s">
        <v>66</v>
      </c>
      <c r="G353" t="s">
        <v>67</v>
      </c>
      <c r="H353">
        <v>5</v>
      </c>
      <c r="I353" s="7">
        <v>0</v>
      </c>
      <c r="J353">
        <v>349.75</v>
      </c>
      <c r="K353" t="str">
        <f>PROPER('Original Data'!K353)</f>
        <v>Credit Card</v>
      </c>
      <c r="L353" t="s">
        <v>45</v>
      </c>
      <c r="M353" t="s">
        <v>92</v>
      </c>
    </row>
    <row r="354" spans="1:13" x14ac:dyDescent="0.2">
      <c r="A354">
        <v>353</v>
      </c>
      <c r="B354" t="s">
        <v>71</v>
      </c>
      <c r="C354" s="5">
        <v>45657</v>
      </c>
      <c r="D354" t="s">
        <v>72</v>
      </c>
      <c r="E354" t="s">
        <v>33</v>
      </c>
      <c r="F354" t="s">
        <v>44</v>
      </c>
      <c r="H354">
        <v>3</v>
      </c>
      <c r="I354" s="7">
        <v>0.1</v>
      </c>
      <c r="J354">
        <v>161.87</v>
      </c>
      <c r="K354" t="str">
        <f>PROPER('Original Data'!K354)</f>
        <v>Debit Card</v>
      </c>
      <c r="L354" t="s">
        <v>49</v>
      </c>
      <c r="M354" t="str" cm="1">
        <f t="array" ref="M354">_xlfn.IFS(OR('Original Data'!M354=0,'Original Data'!M354="No",'Original Data'!M354=FALSE),"No",OR('Original Data'!M354=1,'Original Data'!M354="Yes",'Original Data'!M354=TRUE),"Yes")</f>
        <v>Yes</v>
      </c>
    </row>
    <row r="355" spans="1:13" x14ac:dyDescent="0.2">
      <c r="A355">
        <v>354</v>
      </c>
      <c r="B355" t="s">
        <v>46</v>
      </c>
      <c r="C355" s="5">
        <v>45164</v>
      </c>
      <c r="D355" t="s">
        <v>47</v>
      </c>
      <c r="E355" t="s">
        <v>48</v>
      </c>
      <c r="F355" t="s">
        <v>44</v>
      </c>
      <c r="H355">
        <v>4</v>
      </c>
      <c r="I355" s="7">
        <v>0.1</v>
      </c>
      <c r="J355">
        <v>179.82</v>
      </c>
      <c r="K355" t="str">
        <f>PROPER('Original Data'!K355)</f>
        <v>Gift Card</v>
      </c>
      <c r="L355" t="s">
        <v>41</v>
      </c>
      <c r="M355" t="str" cm="1">
        <f t="array" ref="M355">_xlfn.IFS(OR('Original Data'!M355=0,'Original Data'!M355="No",'Original Data'!M355=FALSE),"No",OR('Original Data'!M355=1,'Original Data'!M355="Yes",'Original Data'!M355=TRUE),"Yes")</f>
        <v>No</v>
      </c>
    </row>
    <row r="356" spans="1:13" x14ac:dyDescent="0.2">
      <c r="A356">
        <v>355</v>
      </c>
      <c r="B356" t="s">
        <v>24</v>
      </c>
      <c r="C356" s="5">
        <v>45042</v>
      </c>
      <c r="D356" t="s">
        <v>87</v>
      </c>
      <c r="E356" t="s">
        <v>39</v>
      </c>
      <c r="F356" t="s">
        <v>40</v>
      </c>
      <c r="G356" t="s">
        <v>17</v>
      </c>
      <c r="H356">
        <v>4</v>
      </c>
      <c r="I356" s="7">
        <v>0</v>
      </c>
      <c r="J356">
        <v>179.8</v>
      </c>
      <c r="K356" t="str">
        <f>PROPER('Original Data'!K356)</f>
        <v>Gift Card</v>
      </c>
      <c r="L356" t="s">
        <v>55</v>
      </c>
      <c r="M356" t="str" cm="1">
        <f t="array" ref="M356">_xlfn.IFS(OR('Original Data'!M356=0,'Original Data'!M356="No",'Original Data'!M356=FALSE),"No",OR('Original Data'!M356=1,'Original Data'!M356="Yes",'Original Data'!M356=TRUE),"Yes")</f>
        <v>Yes</v>
      </c>
    </row>
    <row r="357" spans="1:13" x14ac:dyDescent="0.2">
      <c r="A357">
        <v>356</v>
      </c>
      <c r="B357" t="s">
        <v>88</v>
      </c>
      <c r="C357" s="5">
        <v>45399</v>
      </c>
      <c r="D357" t="str">
        <f>VLOOKUP(B357,'Original Data'!B:D,3,FALSE)</f>
        <v>Trench Coat</v>
      </c>
      <c r="E357" t="str">
        <f>_xlfn.XLOOKUP('Cleaned Data'!B608,'Original Data'!B:B,'Original Data'!E:E)</f>
        <v>Banana Republic</v>
      </c>
      <c r="F357" t="s">
        <v>16</v>
      </c>
      <c r="G357" t="s">
        <v>17</v>
      </c>
      <c r="H357">
        <v>5</v>
      </c>
      <c r="I357" s="7">
        <v>0</v>
      </c>
      <c r="J357">
        <v>990</v>
      </c>
      <c r="K357" t="s">
        <v>90</v>
      </c>
      <c r="L357" t="s">
        <v>30</v>
      </c>
      <c r="M357" t="s">
        <v>92</v>
      </c>
    </row>
    <row r="358" spans="1:13" x14ac:dyDescent="0.2">
      <c r="A358">
        <v>357</v>
      </c>
      <c r="B358" t="s">
        <v>85</v>
      </c>
      <c r="C358" s="5">
        <v>45605</v>
      </c>
      <c r="D358" t="s">
        <v>86</v>
      </c>
      <c r="E358" t="s">
        <v>76</v>
      </c>
      <c r="F358" t="s">
        <v>21</v>
      </c>
      <c r="G358" t="s">
        <v>22</v>
      </c>
      <c r="H358">
        <v>5</v>
      </c>
      <c r="I358" s="7">
        <v>0.15</v>
      </c>
      <c r="J358">
        <v>382.29</v>
      </c>
      <c r="K358" t="str">
        <f>PROPER('Original Data'!K358)</f>
        <v>Debit Card</v>
      </c>
      <c r="L358" t="s">
        <v>63</v>
      </c>
      <c r="M358" t="str" cm="1">
        <f t="array" ref="M358">_xlfn.IFS(OR('Original Data'!M358=0,'Original Data'!M358="No",'Original Data'!M358=FALSE),"No",OR('Original Data'!M358=1,'Original Data'!M358="Yes",'Original Data'!M358=TRUE),"Yes")</f>
        <v>Yes</v>
      </c>
    </row>
    <row r="359" spans="1:13" x14ac:dyDescent="0.2">
      <c r="A359">
        <v>358</v>
      </c>
      <c r="B359" t="s">
        <v>50</v>
      </c>
      <c r="C359" s="5">
        <v>45537</v>
      </c>
      <c r="D359" t="s">
        <v>51</v>
      </c>
      <c r="E359" t="s">
        <v>15</v>
      </c>
      <c r="F359" t="s">
        <v>66</v>
      </c>
      <c r="G359" t="s">
        <v>67</v>
      </c>
      <c r="H359">
        <v>4</v>
      </c>
      <c r="I359" s="7">
        <v>0</v>
      </c>
      <c r="J359">
        <v>279.8</v>
      </c>
      <c r="K359" t="str">
        <f>PROPER('Original Data'!K359)</f>
        <v>Apple Pay</v>
      </c>
      <c r="L359" t="s">
        <v>55</v>
      </c>
      <c r="M359" t="str" cm="1">
        <f t="array" ref="M359">_xlfn.IFS(OR('Original Data'!M359=0,'Original Data'!M359="No",'Original Data'!M359=FALSE),"No",OR('Original Data'!M359=1,'Original Data'!M359="Yes",'Original Data'!M359=TRUE),"Yes")</f>
        <v>No</v>
      </c>
    </row>
    <row r="360" spans="1:13" x14ac:dyDescent="0.2">
      <c r="A360">
        <v>359</v>
      </c>
      <c r="B360" t="s">
        <v>61</v>
      </c>
      <c r="C360" s="5">
        <v>45518</v>
      </c>
      <c r="D360" t="s">
        <v>62</v>
      </c>
      <c r="E360" t="s">
        <v>33</v>
      </c>
      <c r="F360" t="s">
        <v>66</v>
      </c>
      <c r="G360" t="s">
        <v>67</v>
      </c>
      <c r="H360">
        <v>4</v>
      </c>
      <c r="I360" s="7">
        <v>0.1</v>
      </c>
      <c r="J360">
        <v>125.96</v>
      </c>
      <c r="K360" t="s">
        <v>90</v>
      </c>
      <c r="L360" t="s">
        <v>28</v>
      </c>
      <c r="M360" t="str" cm="1">
        <f t="array" ref="M360">_xlfn.IFS(OR('Original Data'!M360=0,'Original Data'!M360="No",'Original Data'!M360=FALSE),"No",OR('Original Data'!M360=1,'Original Data'!M360="Yes",'Original Data'!M360=TRUE),"Yes")</f>
        <v>No</v>
      </c>
    </row>
    <row r="361" spans="1:13" x14ac:dyDescent="0.2">
      <c r="A361">
        <v>360</v>
      </c>
      <c r="B361" t="s">
        <v>42</v>
      </c>
      <c r="C361" s="5">
        <v>45228</v>
      </c>
      <c r="D361" t="s">
        <v>91</v>
      </c>
      <c r="E361" t="s">
        <v>15</v>
      </c>
      <c r="F361" t="s">
        <v>40</v>
      </c>
      <c r="G361" t="s">
        <v>17</v>
      </c>
      <c r="H361">
        <v>5</v>
      </c>
      <c r="I361" s="7">
        <v>0</v>
      </c>
      <c r="J361">
        <v>645</v>
      </c>
      <c r="K361" t="str">
        <f>PROPER('Original Data'!K361)</f>
        <v>Debit Card</v>
      </c>
      <c r="L361" t="s">
        <v>28</v>
      </c>
      <c r="M361" t="str" cm="1">
        <f t="array" ref="M361">_xlfn.IFS(OR('Original Data'!M361=0,'Original Data'!M361="No",'Original Data'!M361=FALSE),"No",OR('Original Data'!M361=1,'Original Data'!M361="Yes",'Original Data'!M361=TRUE),"Yes")</f>
        <v>Yes</v>
      </c>
    </row>
    <row r="362" spans="1:13" x14ac:dyDescent="0.2">
      <c r="A362">
        <v>361</v>
      </c>
      <c r="B362" t="s">
        <v>85</v>
      </c>
      <c r="C362" s="5">
        <v>45318</v>
      </c>
      <c r="D362" t="s">
        <v>86</v>
      </c>
      <c r="E362" t="s">
        <v>76</v>
      </c>
      <c r="F362" t="s">
        <v>34</v>
      </c>
      <c r="G362" t="s">
        <v>35</v>
      </c>
      <c r="H362">
        <v>5</v>
      </c>
      <c r="I362" s="7">
        <v>0.2</v>
      </c>
      <c r="J362">
        <v>359.8</v>
      </c>
      <c r="K362" t="str">
        <f>PROPER('Original Data'!K362)</f>
        <v>Apple Pay</v>
      </c>
      <c r="L362" t="s">
        <v>49</v>
      </c>
      <c r="M362" t="str" cm="1">
        <f t="array" ref="M362">_xlfn.IFS(OR('Original Data'!M362=0,'Original Data'!M362="No",'Original Data'!M362=FALSE),"No",OR('Original Data'!M362=1,'Original Data'!M362="Yes",'Original Data'!M362=TRUE),"Yes")</f>
        <v>Yes</v>
      </c>
    </row>
    <row r="363" spans="1:13" x14ac:dyDescent="0.2">
      <c r="A363">
        <v>362</v>
      </c>
      <c r="B363" t="s">
        <v>50</v>
      </c>
      <c r="C363" s="5">
        <v>45590</v>
      </c>
      <c r="D363" t="s">
        <v>51</v>
      </c>
      <c r="E363" t="s">
        <v>15</v>
      </c>
      <c r="F363" t="s">
        <v>66</v>
      </c>
      <c r="G363" t="s">
        <v>67</v>
      </c>
      <c r="H363">
        <v>2</v>
      </c>
      <c r="I363" s="7">
        <v>0</v>
      </c>
      <c r="J363">
        <v>139.9</v>
      </c>
      <c r="K363" t="str">
        <f>PROPER('Original Data'!K363)</f>
        <v>Credit Card</v>
      </c>
      <c r="L363" t="s">
        <v>23</v>
      </c>
      <c r="M363" t="str" cm="1">
        <f t="array" ref="M363">_xlfn.IFS(OR('Original Data'!M363=0,'Original Data'!M363="No",'Original Data'!M363=FALSE),"No",OR('Original Data'!M363=1,'Original Data'!M363="Yes",'Original Data'!M363=TRUE),"Yes")</f>
        <v>No</v>
      </c>
    </row>
    <row r="364" spans="1:13" x14ac:dyDescent="0.2">
      <c r="A364">
        <v>363</v>
      </c>
      <c r="B364" t="s">
        <v>71</v>
      </c>
      <c r="C364" s="5">
        <v>45387</v>
      </c>
      <c r="D364" t="s">
        <v>72</v>
      </c>
      <c r="E364" t="s">
        <v>33</v>
      </c>
      <c r="F364" t="s">
        <v>21</v>
      </c>
      <c r="G364" t="s">
        <v>22</v>
      </c>
      <c r="H364">
        <v>2</v>
      </c>
      <c r="I364" s="7">
        <v>0.25</v>
      </c>
      <c r="J364">
        <v>89.93</v>
      </c>
      <c r="K364" t="s">
        <v>90</v>
      </c>
      <c r="L364" t="s">
        <v>28</v>
      </c>
      <c r="M364" t="str" cm="1">
        <f t="array" ref="M364">_xlfn.IFS(OR('Original Data'!M364=0,'Original Data'!M364="No",'Original Data'!M364=FALSE),"No",OR('Original Data'!M364=1,'Original Data'!M364="Yes",'Original Data'!M364=TRUE),"Yes")</f>
        <v>Yes</v>
      </c>
    </row>
    <row r="365" spans="1:13" x14ac:dyDescent="0.2">
      <c r="A365">
        <v>364</v>
      </c>
      <c r="B365" t="s">
        <v>58</v>
      </c>
      <c r="C365" s="5">
        <v>45521</v>
      </c>
      <c r="D365" t="s">
        <v>59</v>
      </c>
      <c r="E365" t="s">
        <v>15</v>
      </c>
      <c r="F365" t="s">
        <v>40</v>
      </c>
      <c r="G365" t="s">
        <v>17</v>
      </c>
      <c r="H365">
        <v>1</v>
      </c>
      <c r="I365" s="7">
        <v>0.25</v>
      </c>
      <c r="J365">
        <v>44.96</v>
      </c>
      <c r="K365" t="str">
        <f>PROPER('Original Data'!K365)</f>
        <v>Credit Card</v>
      </c>
      <c r="L365" t="s">
        <v>49</v>
      </c>
      <c r="M365" t="str" cm="1">
        <f t="array" ref="M365">_xlfn.IFS(OR('Original Data'!M365=0,'Original Data'!M365="No",'Original Data'!M365=FALSE),"No",OR('Original Data'!M365=1,'Original Data'!M365="Yes",'Original Data'!M365=TRUE),"Yes")</f>
        <v>Yes</v>
      </c>
    </row>
    <row r="366" spans="1:13" x14ac:dyDescent="0.2">
      <c r="A366">
        <v>365</v>
      </c>
      <c r="B366" t="s">
        <v>78</v>
      </c>
      <c r="C366" s="5">
        <v>45572</v>
      </c>
      <c r="D366" t="s">
        <v>79</v>
      </c>
      <c r="E366" t="s">
        <v>48</v>
      </c>
      <c r="F366" t="s">
        <v>16</v>
      </c>
      <c r="G366" t="s">
        <v>17</v>
      </c>
      <c r="H366">
        <v>5</v>
      </c>
      <c r="I366" s="7">
        <v>0</v>
      </c>
      <c r="J366">
        <v>199.75</v>
      </c>
      <c r="K366" t="str">
        <f>PROPER('Original Data'!K366)</f>
        <v>Gift Card</v>
      </c>
      <c r="L366" t="s">
        <v>63</v>
      </c>
      <c r="M366" t="str" cm="1">
        <f t="array" ref="M366">_xlfn.IFS(OR('Original Data'!M366=0,'Original Data'!M366="No",'Original Data'!M366=FALSE),"No",OR('Original Data'!M366=1,'Original Data'!M366="Yes",'Original Data'!M366=TRUE),"Yes")</f>
        <v>Yes</v>
      </c>
    </row>
    <row r="367" spans="1:13" x14ac:dyDescent="0.2">
      <c r="A367">
        <v>366</v>
      </c>
      <c r="B367" t="s">
        <v>83</v>
      </c>
      <c r="C367" s="5">
        <v>45288</v>
      </c>
      <c r="D367" t="s">
        <v>84</v>
      </c>
      <c r="E367" t="s">
        <v>48</v>
      </c>
      <c r="F367" t="s">
        <v>26</v>
      </c>
      <c r="G367" t="s">
        <v>22</v>
      </c>
      <c r="H367">
        <v>4</v>
      </c>
      <c r="I367" s="7">
        <v>0.25</v>
      </c>
      <c r="J367">
        <v>149.85</v>
      </c>
      <c r="K367" t="str">
        <f>PROPER('Original Data'!K367)</f>
        <v>Gift Card</v>
      </c>
      <c r="L367" t="s">
        <v>49</v>
      </c>
      <c r="M367" t="str" cm="1">
        <f t="array" ref="M367">_xlfn.IFS(OR('Original Data'!M367=0,'Original Data'!M367="No",'Original Data'!M367=FALSE),"No",OR('Original Data'!M367=1,'Original Data'!M367="Yes",'Original Data'!M367=TRUE),"Yes")</f>
        <v>No</v>
      </c>
    </row>
    <row r="368" spans="1:13" x14ac:dyDescent="0.2">
      <c r="A368">
        <v>367</v>
      </c>
      <c r="B368" t="s">
        <v>81</v>
      </c>
      <c r="C368" s="5">
        <v>45566</v>
      </c>
      <c r="D368" t="s">
        <v>82</v>
      </c>
      <c r="E368" t="s">
        <v>15</v>
      </c>
      <c r="F368" t="s">
        <v>44</v>
      </c>
      <c r="H368">
        <v>2</v>
      </c>
      <c r="I368" s="7">
        <v>0</v>
      </c>
      <c r="J368">
        <v>159.9</v>
      </c>
      <c r="K368" t="str">
        <f>PROPER('Original Data'!K368)</f>
        <v>Apple Pay</v>
      </c>
      <c r="L368" t="s">
        <v>30</v>
      </c>
      <c r="M368" t="str" cm="1">
        <f t="array" ref="M368">_xlfn.IFS(OR('Original Data'!M368=0,'Original Data'!M368="No",'Original Data'!M368=FALSE),"No",OR('Original Data'!M368=1,'Original Data'!M368="Yes",'Original Data'!M368=TRUE),"Yes")</f>
        <v>Yes</v>
      </c>
    </row>
    <row r="369" spans="1:13" x14ac:dyDescent="0.2">
      <c r="A369">
        <v>368</v>
      </c>
      <c r="B369" t="s">
        <v>13</v>
      </c>
      <c r="C369" s="5">
        <v>45384</v>
      </c>
      <c r="D369" t="s">
        <v>14</v>
      </c>
      <c r="E369" t="s">
        <v>15</v>
      </c>
      <c r="F369" t="s">
        <v>53</v>
      </c>
      <c r="G369" t="s">
        <v>54</v>
      </c>
      <c r="H369">
        <v>1</v>
      </c>
      <c r="I369" s="7">
        <v>0</v>
      </c>
      <c r="J369">
        <v>19.989999999999998</v>
      </c>
      <c r="K369" t="str">
        <f>PROPER('Original Data'!K369)</f>
        <v>Apple Pay</v>
      </c>
      <c r="L369" t="s">
        <v>45</v>
      </c>
      <c r="M369" t="str" cm="1">
        <f t="array" ref="M369">_xlfn.IFS(OR('Original Data'!M369=0,'Original Data'!M369="No",'Original Data'!M369=FALSE),"No",OR('Original Data'!M369=1,'Original Data'!M369="Yes",'Original Data'!M369=TRUE),"Yes")</f>
        <v>No</v>
      </c>
    </row>
    <row r="370" spans="1:13" x14ac:dyDescent="0.2">
      <c r="A370">
        <v>369</v>
      </c>
      <c r="B370" t="s">
        <v>71</v>
      </c>
      <c r="C370" s="5">
        <v>45170</v>
      </c>
      <c r="D370" t="s">
        <v>72</v>
      </c>
      <c r="E370" t="s">
        <v>33</v>
      </c>
      <c r="F370" t="s">
        <v>66</v>
      </c>
      <c r="G370" t="s">
        <v>67</v>
      </c>
      <c r="H370">
        <v>2</v>
      </c>
      <c r="I370" s="7">
        <v>0.25</v>
      </c>
      <c r="J370">
        <v>89.93</v>
      </c>
      <c r="K370" t="str">
        <f>PROPER('Original Data'!K370)</f>
        <v>Gift Card</v>
      </c>
      <c r="L370" t="s">
        <v>28</v>
      </c>
      <c r="M370" t="str" cm="1">
        <f t="array" ref="M370">_xlfn.IFS(OR('Original Data'!M370=0,'Original Data'!M370="No",'Original Data'!M370=FALSE),"No",OR('Original Data'!M370=1,'Original Data'!M370="Yes",'Original Data'!M370=TRUE),"Yes")</f>
        <v>Yes</v>
      </c>
    </row>
    <row r="371" spans="1:13" x14ac:dyDescent="0.2">
      <c r="A371">
        <v>370</v>
      </c>
      <c r="B371" t="s">
        <v>24</v>
      </c>
      <c r="C371" s="5">
        <v>45472</v>
      </c>
      <c r="D371" t="str">
        <f>VLOOKUP(B371,'Original Data'!B:D,3,FALSE)</f>
        <v>NULL</v>
      </c>
      <c r="E371" t="str">
        <f>_xlfn.XLOOKUP('Cleaned Data'!B845,'Original Data'!B:B,'Original Data'!E:E)</f>
        <v>Intermix</v>
      </c>
      <c r="F371" t="s">
        <v>66</v>
      </c>
      <c r="G371" t="s">
        <v>67</v>
      </c>
      <c r="H371">
        <v>4</v>
      </c>
      <c r="I371" s="7">
        <v>0.25</v>
      </c>
      <c r="J371">
        <v>134.85</v>
      </c>
      <c r="K371" t="str">
        <f>PROPER('Original Data'!K371)</f>
        <v>Gift Card</v>
      </c>
      <c r="L371" t="s">
        <v>30</v>
      </c>
      <c r="M371" t="s">
        <v>92</v>
      </c>
    </row>
    <row r="372" spans="1:13" x14ac:dyDescent="0.2">
      <c r="A372">
        <v>371</v>
      </c>
      <c r="B372" t="s">
        <v>78</v>
      </c>
      <c r="C372" s="5">
        <v>45552</v>
      </c>
      <c r="D372" t="s">
        <v>79</v>
      </c>
      <c r="E372" t="s">
        <v>48</v>
      </c>
      <c r="F372" t="s">
        <v>40</v>
      </c>
      <c r="G372" t="s">
        <v>17</v>
      </c>
      <c r="H372">
        <v>1</v>
      </c>
      <c r="I372" s="7">
        <v>0</v>
      </c>
      <c r="J372">
        <v>39.950000000000003</v>
      </c>
      <c r="K372" t="str">
        <f>PROPER('Original Data'!K372)</f>
        <v>Gift Card</v>
      </c>
      <c r="L372" t="s">
        <v>49</v>
      </c>
      <c r="M372" t="str" cm="1">
        <f t="array" ref="M372">_xlfn.IFS(OR('Original Data'!M372=0,'Original Data'!M372="No",'Original Data'!M372=FALSE),"No",OR('Original Data'!M372=1,'Original Data'!M372="Yes",'Original Data'!M372=TRUE),"Yes")</f>
        <v>Yes</v>
      </c>
    </row>
    <row r="373" spans="1:13" x14ac:dyDescent="0.2">
      <c r="A373">
        <v>372</v>
      </c>
      <c r="B373" t="s">
        <v>78</v>
      </c>
      <c r="C373" s="5">
        <v>44937</v>
      </c>
      <c r="D373" t="s">
        <v>79</v>
      </c>
      <c r="E373" t="s">
        <v>48</v>
      </c>
      <c r="G373" t="s">
        <v>25</v>
      </c>
      <c r="H373">
        <v>3</v>
      </c>
      <c r="I373" s="7">
        <v>0</v>
      </c>
      <c r="J373">
        <v>119.85</v>
      </c>
      <c r="K373" t="s">
        <v>90</v>
      </c>
      <c r="L373" t="s">
        <v>49</v>
      </c>
      <c r="M373" t="str" cm="1">
        <f t="array" ref="M373">_xlfn.IFS(OR('Original Data'!M373=0,'Original Data'!M373="No",'Original Data'!M373=FALSE),"No",OR('Original Data'!M373=1,'Original Data'!M373="Yes",'Original Data'!M373=TRUE),"Yes")</f>
        <v>Yes</v>
      </c>
    </row>
    <row r="374" spans="1:13" x14ac:dyDescent="0.2">
      <c r="A374">
        <v>373</v>
      </c>
      <c r="B374" t="s">
        <v>37</v>
      </c>
      <c r="C374" s="5">
        <v>45535</v>
      </c>
      <c r="D374" t="s">
        <v>38</v>
      </c>
      <c r="E374" t="s">
        <v>39</v>
      </c>
      <c r="F374" t="s">
        <v>53</v>
      </c>
      <c r="G374" t="s">
        <v>54</v>
      </c>
      <c r="H374">
        <v>1</v>
      </c>
      <c r="I374" s="7">
        <v>0</v>
      </c>
      <c r="J374">
        <v>64.95</v>
      </c>
      <c r="K374" t="str">
        <f>PROPER('Original Data'!K374)</f>
        <v>Credit Card</v>
      </c>
      <c r="L374" t="s">
        <v>55</v>
      </c>
      <c r="M374" t="str" cm="1">
        <f t="array" ref="M374">_xlfn.IFS(OR('Original Data'!M374=0,'Original Data'!M374="No",'Original Data'!M374=FALSE),"No",OR('Original Data'!M374=1,'Original Data'!M374="Yes",'Original Data'!M374=TRUE),"Yes")</f>
        <v>Yes</v>
      </c>
    </row>
    <row r="375" spans="1:13" x14ac:dyDescent="0.2">
      <c r="A375">
        <v>374</v>
      </c>
      <c r="B375" t="s">
        <v>46</v>
      </c>
      <c r="C375" s="5">
        <v>45603</v>
      </c>
      <c r="D375" t="s">
        <v>47</v>
      </c>
      <c r="E375" t="s">
        <v>48</v>
      </c>
      <c r="F375" t="s">
        <v>66</v>
      </c>
      <c r="G375" t="s">
        <v>67</v>
      </c>
      <c r="H375">
        <v>2</v>
      </c>
      <c r="I375" s="7">
        <v>0.1</v>
      </c>
      <c r="J375">
        <v>89.91</v>
      </c>
      <c r="K375" t="str">
        <f>PROPER('Original Data'!K375)</f>
        <v>Gift Card</v>
      </c>
      <c r="L375" t="s">
        <v>30</v>
      </c>
      <c r="M375" t="str" cm="1">
        <f t="array" ref="M375">_xlfn.IFS(OR('Original Data'!M375=0,'Original Data'!M375="No",'Original Data'!M375=FALSE),"No",OR('Original Data'!M375=1,'Original Data'!M375="Yes",'Original Data'!M375=TRUE),"Yes")</f>
        <v>No</v>
      </c>
    </row>
    <row r="376" spans="1:13" x14ac:dyDescent="0.2">
      <c r="A376">
        <v>375</v>
      </c>
      <c r="B376" t="s">
        <v>64</v>
      </c>
      <c r="C376" s="5">
        <v>44988</v>
      </c>
      <c r="D376" t="s">
        <v>65</v>
      </c>
      <c r="E376" t="s">
        <v>33</v>
      </c>
      <c r="F376" t="s">
        <v>16</v>
      </c>
      <c r="G376" t="s">
        <v>17</v>
      </c>
      <c r="H376">
        <v>1</v>
      </c>
      <c r="I376" s="7">
        <v>0.2</v>
      </c>
      <c r="J376">
        <v>59.96</v>
      </c>
      <c r="K376" t="str">
        <f>PROPER('Original Data'!K376)</f>
        <v>Cash</v>
      </c>
      <c r="L376" t="s">
        <v>28</v>
      </c>
      <c r="M376" t="str" cm="1">
        <f t="array" ref="M376">_xlfn.IFS(OR('Original Data'!M376=0,'Original Data'!M376="No",'Original Data'!M376=FALSE),"No",OR('Original Data'!M376=1,'Original Data'!M376="Yes",'Original Data'!M376=TRUE),"Yes")</f>
        <v>No</v>
      </c>
    </row>
    <row r="377" spans="1:13" x14ac:dyDescent="0.2">
      <c r="A377">
        <v>376</v>
      </c>
      <c r="B377" t="s">
        <v>56</v>
      </c>
      <c r="C377" s="5">
        <v>45192</v>
      </c>
      <c r="D377" t="str">
        <f>VLOOKUP(B377,'Original Data'!B:D,3,FALSE)</f>
        <v>Rain Jacket</v>
      </c>
      <c r="E377" t="str">
        <f>_xlfn.XLOOKUP('Cleaned Data'!B1026,'Original Data'!B:B,'Original Data'!E:E)</f>
        <v>Athleta</v>
      </c>
      <c r="G377" t="s">
        <v>25</v>
      </c>
      <c r="H377">
        <v>4</v>
      </c>
      <c r="I377" s="7">
        <v>0.05</v>
      </c>
      <c r="J377">
        <v>323</v>
      </c>
      <c r="K377" t="str">
        <f>PROPER('Original Data'!K377)</f>
        <v>Gift Card</v>
      </c>
      <c r="L377" t="s">
        <v>55</v>
      </c>
      <c r="M377" t="s">
        <v>92</v>
      </c>
    </row>
    <row r="378" spans="1:13" x14ac:dyDescent="0.2">
      <c r="A378">
        <v>377</v>
      </c>
      <c r="B378" t="s">
        <v>58</v>
      </c>
      <c r="C378" s="5">
        <v>45264</v>
      </c>
      <c r="D378" t="s">
        <v>59</v>
      </c>
      <c r="E378" t="s">
        <v>15</v>
      </c>
      <c r="F378" t="s">
        <v>26</v>
      </c>
      <c r="G378" t="s">
        <v>22</v>
      </c>
      <c r="H378">
        <v>4</v>
      </c>
      <c r="I378" s="7">
        <v>0.1</v>
      </c>
      <c r="J378">
        <v>215.82</v>
      </c>
      <c r="K378" t="str">
        <f>PROPER('Original Data'!K378)</f>
        <v>Apple Pay</v>
      </c>
      <c r="L378" t="s">
        <v>45</v>
      </c>
      <c r="M378" t="str" cm="1">
        <f t="array" ref="M378">_xlfn.IFS(OR('Original Data'!M378=0,'Original Data'!M378="No",'Original Data'!M378=FALSE),"No",OR('Original Data'!M378=1,'Original Data'!M378="Yes",'Original Data'!M378=TRUE),"Yes")</f>
        <v>Yes</v>
      </c>
    </row>
    <row r="379" spans="1:13" x14ac:dyDescent="0.2">
      <c r="A379">
        <v>378</v>
      </c>
      <c r="B379" t="s">
        <v>13</v>
      </c>
      <c r="C379" s="5">
        <v>45475</v>
      </c>
      <c r="D379" t="s">
        <v>14</v>
      </c>
      <c r="E379" t="s">
        <v>15</v>
      </c>
      <c r="F379" t="s">
        <v>34</v>
      </c>
      <c r="G379" t="s">
        <v>35</v>
      </c>
      <c r="H379">
        <v>4</v>
      </c>
      <c r="I379" s="7">
        <v>0.25</v>
      </c>
      <c r="J379">
        <v>59.97</v>
      </c>
      <c r="K379" t="s">
        <v>90</v>
      </c>
      <c r="L379" t="s">
        <v>55</v>
      </c>
      <c r="M379" t="str" cm="1">
        <f t="array" ref="M379">_xlfn.IFS(OR('Original Data'!M379=0,'Original Data'!M379="No",'Original Data'!M379=FALSE),"No",OR('Original Data'!M379=1,'Original Data'!M379="Yes",'Original Data'!M379=TRUE),"Yes")</f>
        <v>No</v>
      </c>
    </row>
    <row r="380" spans="1:13" x14ac:dyDescent="0.2">
      <c r="A380">
        <v>379</v>
      </c>
      <c r="B380" t="s">
        <v>50</v>
      </c>
      <c r="C380" s="5">
        <v>45603</v>
      </c>
      <c r="D380" t="s">
        <v>51</v>
      </c>
      <c r="E380" t="s">
        <v>15</v>
      </c>
      <c r="F380" t="s">
        <v>44</v>
      </c>
      <c r="H380">
        <v>2</v>
      </c>
      <c r="I380" s="7">
        <v>0</v>
      </c>
      <c r="J380">
        <v>139.9</v>
      </c>
      <c r="K380" t="str">
        <f>PROPER('Original Data'!K380)</f>
        <v>Gift Card</v>
      </c>
      <c r="L380" t="s">
        <v>23</v>
      </c>
      <c r="M380" t="str" cm="1">
        <f t="array" ref="M380">_xlfn.IFS(OR('Original Data'!M380=0,'Original Data'!M380="No",'Original Data'!M380=FALSE),"No",OR('Original Data'!M380=1,'Original Data'!M380="Yes",'Original Data'!M380=TRUE),"Yes")</f>
        <v>No</v>
      </c>
    </row>
    <row r="381" spans="1:13" x14ac:dyDescent="0.2">
      <c r="A381">
        <v>380</v>
      </c>
      <c r="B381" t="s">
        <v>37</v>
      </c>
      <c r="C381" s="5">
        <v>44991</v>
      </c>
      <c r="D381" t="str">
        <f>VLOOKUP(B381,'Original Data'!B:D,3,FALSE)</f>
        <v>Running Leggings</v>
      </c>
      <c r="E381" t="str">
        <f>_xlfn.XLOOKUP('Cleaned Data'!B363,'Original Data'!B:B,'Original Data'!E:E)</f>
        <v>GAP</v>
      </c>
      <c r="F381" t="s">
        <v>26</v>
      </c>
      <c r="G381" t="s">
        <v>22</v>
      </c>
      <c r="H381">
        <v>1</v>
      </c>
      <c r="I381" s="7">
        <v>0.05</v>
      </c>
      <c r="J381">
        <v>61.7</v>
      </c>
      <c r="K381" t="str">
        <f>PROPER('Original Data'!K381)</f>
        <v>Gift Card</v>
      </c>
      <c r="L381" t="s">
        <v>41</v>
      </c>
      <c r="M381" t="s">
        <v>92</v>
      </c>
    </row>
    <row r="382" spans="1:13" x14ac:dyDescent="0.2">
      <c r="A382">
        <v>381</v>
      </c>
      <c r="B382" t="s">
        <v>74</v>
      </c>
      <c r="C382" s="5">
        <v>45476</v>
      </c>
      <c r="D382" t="str">
        <f>VLOOKUP(B382,'Original Data'!B:D,3,FALSE)</f>
        <v>Silk Scarf</v>
      </c>
      <c r="E382" t="str">
        <f>_xlfn.XLOOKUP('Cleaned Data'!B714,'Original Data'!B:B,'Original Data'!E:E)</f>
        <v>Old Navy</v>
      </c>
      <c r="F382" t="s">
        <v>26</v>
      </c>
      <c r="G382" t="s">
        <v>22</v>
      </c>
      <c r="H382">
        <v>1</v>
      </c>
      <c r="I382" s="7">
        <v>0.05</v>
      </c>
      <c r="J382">
        <v>42.7</v>
      </c>
      <c r="K382" t="str">
        <f>PROPER('Original Data'!K382)</f>
        <v>Apple Pay</v>
      </c>
      <c r="L382" t="s">
        <v>41</v>
      </c>
      <c r="M382" t="s">
        <v>92</v>
      </c>
    </row>
    <row r="383" spans="1:13" x14ac:dyDescent="0.2">
      <c r="A383">
        <v>382</v>
      </c>
      <c r="B383" t="s">
        <v>61</v>
      </c>
      <c r="C383" s="5">
        <v>45026</v>
      </c>
      <c r="D383" t="s">
        <v>62</v>
      </c>
      <c r="E383" t="s">
        <v>33</v>
      </c>
      <c r="F383" t="s">
        <v>34</v>
      </c>
      <c r="G383" t="s">
        <v>35</v>
      </c>
      <c r="H383">
        <v>1</v>
      </c>
      <c r="I383" s="7">
        <v>0</v>
      </c>
      <c r="J383">
        <v>34.99</v>
      </c>
      <c r="K383" t="str">
        <f>PROPER('Original Data'!K383)</f>
        <v>Cash</v>
      </c>
      <c r="L383" t="s">
        <v>23</v>
      </c>
      <c r="M383" t="str" cm="1">
        <f t="array" ref="M383">_xlfn.IFS(OR('Original Data'!M383=0,'Original Data'!M383="No",'Original Data'!M383=FALSE),"No",OR('Original Data'!M383=1,'Original Data'!M383="Yes",'Original Data'!M383=TRUE),"Yes")</f>
        <v>No</v>
      </c>
    </row>
    <row r="384" spans="1:13" x14ac:dyDescent="0.2">
      <c r="A384">
        <v>383</v>
      </c>
      <c r="B384" t="s">
        <v>85</v>
      </c>
      <c r="C384" s="5">
        <v>45627</v>
      </c>
      <c r="D384" t="s">
        <v>86</v>
      </c>
      <c r="E384" t="s">
        <v>76</v>
      </c>
      <c r="F384" t="s">
        <v>34</v>
      </c>
      <c r="G384" t="s">
        <v>35</v>
      </c>
      <c r="H384">
        <v>3</v>
      </c>
      <c r="I384" s="7">
        <v>0.2</v>
      </c>
      <c r="J384">
        <v>215.88</v>
      </c>
      <c r="K384" t="str">
        <f>PROPER('Original Data'!K384)</f>
        <v>Credit Card</v>
      </c>
      <c r="M384" t="str" cm="1">
        <f t="array" ref="M384">_xlfn.IFS(OR('Original Data'!M384=0,'Original Data'!M384="No",'Original Data'!M384=FALSE),"No",OR('Original Data'!M384=1,'Original Data'!M384="Yes",'Original Data'!M384=TRUE),"Yes")</f>
        <v>Yes</v>
      </c>
    </row>
    <row r="385" spans="1:13" x14ac:dyDescent="0.2">
      <c r="A385">
        <v>384</v>
      </c>
      <c r="B385" t="s">
        <v>31</v>
      </c>
      <c r="C385" s="5">
        <v>45522</v>
      </c>
      <c r="D385" t="s">
        <v>32</v>
      </c>
      <c r="E385" t="s">
        <v>33</v>
      </c>
      <c r="F385" t="s">
        <v>21</v>
      </c>
      <c r="G385" t="s">
        <v>22</v>
      </c>
      <c r="H385">
        <v>3</v>
      </c>
      <c r="I385" s="7">
        <v>0</v>
      </c>
      <c r="J385">
        <v>239.85</v>
      </c>
      <c r="K385" t="str">
        <f>PROPER('Original Data'!K385)</f>
        <v>Debit Card</v>
      </c>
      <c r="L385" t="s">
        <v>41</v>
      </c>
      <c r="M385" t="str" cm="1">
        <f t="array" ref="M385">_xlfn.IFS(OR('Original Data'!M385=0,'Original Data'!M385="No",'Original Data'!M385=FALSE),"No",OR('Original Data'!M385=1,'Original Data'!M385="Yes",'Original Data'!M385=TRUE),"Yes")</f>
        <v>No</v>
      </c>
    </row>
    <row r="386" spans="1:13" x14ac:dyDescent="0.2">
      <c r="A386">
        <v>385</v>
      </c>
      <c r="B386" t="s">
        <v>85</v>
      </c>
      <c r="C386" s="5">
        <v>45582</v>
      </c>
      <c r="D386" t="s">
        <v>86</v>
      </c>
      <c r="E386" t="s">
        <v>76</v>
      </c>
      <c r="F386" t="s">
        <v>53</v>
      </c>
      <c r="G386" t="s">
        <v>54</v>
      </c>
      <c r="H386">
        <v>4</v>
      </c>
      <c r="I386" s="7">
        <v>0</v>
      </c>
      <c r="J386">
        <v>359.8</v>
      </c>
      <c r="K386" t="str">
        <f>PROPER('Original Data'!K386)</f>
        <v>Debit Card</v>
      </c>
      <c r="L386" t="s">
        <v>63</v>
      </c>
      <c r="M386" t="str" cm="1">
        <f t="array" ref="M386">_xlfn.IFS(OR('Original Data'!M386=0,'Original Data'!M386="No",'Original Data'!M386=FALSE),"No",OR('Original Data'!M386=1,'Original Data'!M386="Yes",'Original Data'!M386=TRUE),"Yes")</f>
        <v>Yes</v>
      </c>
    </row>
    <row r="387" spans="1:13" x14ac:dyDescent="0.2">
      <c r="A387">
        <v>386</v>
      </c>
      <c r="B387" t="s">
        <v>68</v>
      </c>
      <c r="C387" s="5">
        <v>45047</v>
      </c>
      <c r="D387" t="s">
        <v>69</v>
      </c>
      <c r="E387" t="s">
        <v>33</v>
      </c>
      <c r="F387" t="s">
        <v>53</v>
      </c>
      <c r="G387" t="s">
        <v>54</v>
      </c>
      <c r="H387">
        <v>4</v>
      </c>
      <c r="I387" s="7">
        <v>0</v>
      </c>
      <c r="J387">
        <v>476</v>
      </c>
      <c r="K387" t="str">
        <f>PROPER('Original Data'!K387)</f>
        <v>Debit Card</v>
      </c>
      <c r="L387" t="s">
        <v>63</v>
      </c>
      <c r="M387" t="str" cm="1">
        <f t="array" ref="M387">_xlfn.IFS(OR('Original Data'!M387=0,'Original Data'!M387="No",'Original Data'!M387=FALSE),"No",OR('Original Data'!M387=1,'Original Data'!M387="Yes",'Original Data'!M387=TRUE),"Yes")</f>
        <v>No</v>
      </c>
    </row>
    <row r="388" spans="1:13" x14ac:dyDescent="0.2">
      <c r="A388">
        <v>387</v>
      </c>
      <c r="B388" t="s">
        <v>37</v>
      </c>
      <c r="C388" s="5">
        <v>45107</v>
      </c>
      <c r="D388" t="s">
        <v>38</v>
      </c>
      <c r="E388" t="s">
        <v>39</v>
      </c>
      <c r="F388" t="s">
        <v>26</v>
      </c>
      <c r="G388" t="s">
        <v>22</v>
      </c>
      <c r="H388">
        <v>1</v>
      </c>
      <c r="I388" s="7">
        <v>0</v>
      </c>
      <c r="J388">
        <v>64.95</v>
      </c>
      <c r="K388" t="str">
        <f>PROPER('Original Data'!K388)</f>
        <v>Gift Card</v>
      </c>
      <c r="L388" t="s">
        <v>41</v>
      </c>
      <c r="M388" t="str" cm="1">
        <f t="array" ref="M388">_xlfn.IFS(OR('Original Data'!M388=0,'Original Data'!M388="No",'Original Data'!M388=FALSE),"No",OR('Original Data'!M388=1,'Original Data'!M388="Yes",'Original Data'!M388=TRUE),"Yes")</f>
        <v>Yes</v>
      </c>
    </row>
    <row r="389" spans="1:13" x14ac:dyDescent="0.2">
      <c r="A389">
        <v>388</v>
      </c>
      <c r="B389" t="s">
        <v>58</v>
      </c>
      <c r="C389" s="5">
        <v>44956</v>
      </c>
      <c r="D389" t="s">
        <v>59</v>
      </c>
      <c r="E389" t="s">
        <v>15</v>
      </c>
      <c r="F389" t="s">
        <v>44</v>
      </c>
      <c r="H389">
        <v>1</v>
      </c>
      <c r="I389" s="7">
        <v>0</v>
      </c>
      <c r="J389">
        <v>59.95</v>
      </c>
      <c r="K389" t="str">
        <f>PROPER('Original Data'!K389)</f>
        <v>Debit Card</v>
      </c>
      <c r="L389" t="s">
        <v>45</v>
      </c>
      <c r="M389" t="str" cm="1">
        <f t="array" ref="M389">_xlfn.IFS(OR('Original Data'!M389=0,'Original Data'!M389="No",'Original Data'!M389=FALSE),"No",OR('Original Data'!M389=1,'Original Data'!M389="Yes",'Original Data'!M389=TRUE),"Yes")</f>
        <v>Yes</v>
      </c>
    </row>
    <row r="390" spans="1:13" x14ac:dyDescent="0.2">
      <c r="A390">
        <v>389</v>
      </c>
      <c r="B390" t="s">
        <v>19</v>
      </c>
      <c r="C390" s="5">
        <v>45169</v>
      </c>
      <c r="D390" t="str">
        <f>VLOOKUP(B390,'Original Data'!B:D,3,FALSE)</f>
        <v>Denim Jacket</v>
      </c>
      <c r="E390" t="str">
        <f>_xlfn.XLOOKUP('Cleaned Data'!B430,'Original Data'!B:B,'Original Data'!E:E)</f>
        <v>GAP</v>
      </c>
      <c r="F390" t="s">
        <v>40</v>
      </c>
      <c r="G390" t="s">
        <v>17</v>
      </c>
      <c r="H390">
        <v>1</v>
      </c>
      <c r="I390" s="7">
        <v>0.15</v>
      </c>
      <c r="J390">
        <v>76.459999999999994</v>
      </c>
      <c r="K390" t="str">
        <f>PROPER('Original Data'!K390)</f>
        <v>Credit Card</v>
      </c>
      <c r="L390" t="s">
        <v>63</v>
      </c>
      <c r="M390" t="s">
        <v>92</v>
      </c>
    </row>
    <row r="391" spans="1:13" x14ac:dyDescent="0.2">
      <c r="A391">
        <v>390</v>
      </c>
      <c r="B391" t="s">
        <v>31</v>
      </c>
      <c r="C391" s="5">
        <v>45125</v>
      </c>
      <c r="D391" t="s">
        <v>32</v>
      </c>
      <c r="E391" t="s">
        <v>33</v>
      </c>
      <c r="F391" t="s">
        <v>44</v>
      </c>
      <c r="H391">
        <v>4</v>
      </c>
      <c r="I391" s="7">
        <v>0</v>
      </c>
      <c r="J391">
        <v>319.8</v>
      </c>
      <c r="K391" t="str">
        <f>PROPER('Original Data'!K391)</f>
        <v>Gift Card</v>
      </c>
      <c r="L391" t="s">
        <v>45</v>
      </c>
      <c r="M391" t="str" cm="1">
        <f t="array" ref="M391">_xlfn.IFS(OR('Original Data'!M391=0,'Original Data'!M391="No",'Original Data'!M391=FALSE),"No",OR('Original Data'!M391=1,'Original Data'!M391="Yes",'Original Data'!M391=TRUE),"Yes")</f>
        <v>No</v>
      </c>
    </row>
    <row r="392" spans="1:13" x14ac:dyDescent="0.2">
      <c r="A392">
        <v>391</v>
      </c>
      <c r="B392" t="s">
        <v>19</v>
      </c>
      <c r="C392" s="5">
        <v>45493</v>
      </c>
      <c r="D392" t="s">
        <v>20</v>
      </c>
      <c r="E392" t="s">
        <v>15</v>
      </c>
      <c r="F392" t="s">
        <v>40</v>
      </c>
      <c r="G392" t="s">
        <v>17</v>
      </c>
      <c r="H392">
        <v>3</v>
      </c>
      <c r="I392" s="7">
        <v>0</v>
      </c>
      <c r="J392">
        <v>269.85000000000002</v>
      </c>
      <c r="K392" t="s">
        <v>90</v>
      </c>
      <c r="L392" t="s">
        <v>45</v>
      </c>
      <c r="M392" t="str" cm="1">
        <f t="array" ref="M392">_xlfn.IFS(OR('Original Data'!M392=0,'Original Data'!M392="No",'Original Data'!M392=FALSE),"No",OR('Original Data'!M392=1,'Original Data'!M392="Yes",'Original Data'!M392=TRUE),"Yes")</f>
        <v>Yes</v>
      </c>
    </row>
    <row r="393" spans="1:13" x14ac:dyDescent="0.2">
      <c r="A393">
        <v>392</v>
      </c>
      <c r="B393" t="s">
        <v>19</v>
      </c>
      <c r="C393" s="5">
        <v>45079</v>
      </c>
      <c r="D393" t="s">
        <v>20</v>
      </c>
      <c r="E393" t="s">
        <v>15</v>
      </c>
      <c r="F393" t="s">
        <v>34</v>
      </c>
      <c r="G393" t="s">
        <v>35</v>
      </c>
      <c r="H393">
        <v>3</v>
      </c>
      <c r="I393" s="7">
        <v>0.2</v>
      </c>
      <c r="J393">
        <v>215.88</v>
      </c>
      <c r="K393" t="s">
        <v>90</v>
      </c>
      <c r="L393" t="s">
        <v>63</v>
      </c>
      <c r="M393" t="str" cm="1">
        <f t="array" ref="M393">_xlfn.IFS(OR('Original Data'!M393=0,'Original Data'!M393="No",'Original Data'!M393=FALSE),"No",OR('Original Data'!M393=1,'Original Data'!M393="Yes",'Original Data'!M393=TRUE),"Yes")</f>
        <v>Yes</v>
      </c>
    </row>
    <row r="394" spans="1:13" x14ac:dyDescent="0.2">
      <c r="A394">
        <v>393</v>
      </c>
      <c r="B394" t="s">
        <v>24</v>
      </c>
      <c r="C394" s="5">
        <v>44939</v>
      </c>
      <c r="D394" t="s">
        <v>87</v>
      </c>
      <c r="E394" t="s">
        <v>39</v>
      </c>
      <c r="F394" t="s">
        <v>16</v>
      </c>
      <c r="G394" t="s">
        <v>17</v>
      </c>
      <c r="H394">
        <v>4</v>
      </c>
      <c r="I394" s="7">
        <v>0.05</v>
      </c>
      <c r="J394">
        <v>170.81</v>
      </c>
      <c r="K394" t="s">
        <v>90</v>
      </c>
      <c r="L394" t="s">
        <v>55</v>
      </c>
      <c r="M394" t="str" cm="1">
        <f t="array" ref="M394">_xlfn.IFS(OR('Original Data'!M394=0,'Original Data'!M394="No",'Original Data'!M394=FALSE),"No",OR('Original Data'!M394=1,'Original Data'!M394="Yes",'Original Data'!M394=TRUE),"Yes")</f>
        <v>Yes</v>
      </c>
    </row>
    <row r="395" spans="1:13" x14ac:dyDescent="0.2">
      <c r="A395">
        <v>394</v>
      </c>
      <c r="B395" t="s">
        <v>81</v>
      </c>
      <c r="C395" s="5">
        <v>45068</v>
      </c>
      <c r="D395" t="s">
        <v>82</v>
      </c>
      <c r="E395" t="s">
        <v>15</v>
      </c>
      <c r="F395" t="s">
        <v>44</v>
      </c>
      <c r="H395">
        <v>5</v>
      </c>
      <c r="I395" s="7">
        <v>0</v>
      </c>
      <c r="J395">
        <v>399.75</v>
      </c>
      <c r="K395" t="str">
        <f>PROPER('Original Data'!K395)</f>
        <v>Gift Card</v>
      </c>
      <c r="L395" t="s">
        <v>41</v>
      </c>
      <c r="M395" t="str" cm="1">
        <f t="array" ref="M395">_xlfn.IFS(OR('Original Data'!M395=0,'Original Data'!M395="No",'Original Data'!M395=FALSE),"No",OR('Original Data'!M395=1,'Original Data'!M395="Yes",'Original Data'!M395=TRUE),"Yes")</f>
        <v>Yes</v>
      </c>
    </row>
    <row r="396" spans="1:13" x14ac:dyDescent="0.2">
      <c r="A396">
        <v>395</v>
      </c>
      <c r="B396" t="s">
        <v>78</v>
      </c>
      <c r="C396" s="5">
        <v>45641</v>
      </c>
      <c r="D396" t="s">
        <v>79</v>
      </c>
      <c r="E396" t="s">
        <v>48</v>
      </c>
      <c r="F396" t="s">
        <v>40</v>
      </c>
      <c r="G396" t="s">
        <v>17</v>
      </c>
      <c r="H396">
        <v>1</v>
      </c>
      <c r="I396" s="7">
        <v>0.1</v>
      </c>
      <c r="J396">
        <v>35.96</v>
      </c>
      <c r="K396" t="str">
        <f>PROPER('Original Data'!K396)</f>
        <v>Cash</v>
      </c>
      <c r="M396" t="str" cm="1">
        <f t="array" ref="M396">_xlfn.IFS(OR('Original Data'!M396=0,'Original Data'!M396="No",'Original Data'!M396=FALSE),"No",OR('Original Data'!M396=1,'Original Data'!M396="Yes",'Original Data'!M396=TRUE),"Yes")</f>
        <v>Yes</v>
      </c>
    </row>
    <row r="397" spans="1:13" x14ac:dyDescent="0.2">
      <c r="A397">
        <v>396</v>
      </c>
      <c r="B397" t="s">
        <v>58</v>
      </c>
      <c r="C397" s="5">
        <v>45560</v>
      </c>
      <c r="D397" t="s">
        <v>59</v>
      </c>
      <c r="E397" t="s">
        <v>15</v>
      </c>
      <c r="F397" t="s">
        <v>40</v>
      </c>
      <c r="G397" t="s">
        <v>17</v>
      </c>
      <c r="H397">
        <v>1</v>
      </c>
      <c r="I397" s="7">
        <v>0.2</v>
      </c>
      <c r="J397">
        <v>47.96</v>
      </c>
      <c r="K397" t="str">
        <f>PROPER('Original Data'!K397)</f>
        <v>Gift Card</v>
      </c>
      <c r="L397" t="s">
        <v>49</v>
      </c>
      <c r="M397" t="str" cm="1">
        <f t="array" ref="M397">_xlfn.IFS(OR('Original Data'!M397=0,'Original Data'!M397="No",'Original Data'!M397=FALSE),"No",OR('Original Data'!M397=1,'Original Data'!M397="Yes",'Original Data'!M397=TRUE),"Yes")</f>
        <v>Yes</v>
      </c>
    </row>
    <row r="398" spans="1:13" x14ac:dyDescent="0.2">
      <c r="A398">
        <v>397</v>
      </c>
      <c r="B398" t="s">
        <v>83</v>
      </c>
      <c r="C398" s="5">
        <v>45288</v>
      </c>
      <c r="D398" t="s">
        <v>84</v>
      </c>
      <c r="E398" t="s">
        <v>48</v>
      </c>
      <c r="F398" t="s">
        <v>16</v>
      </c>
      <c r="G398" t="s">
        <v>17</v>
      </c>
      <c r="H398">
        <v>5</v>
      </c>
      <c r="I398" s="7">
        <v>0.05</v>
      </c>
      <c r="J398">
        <v>237.26</v>
      </c>
      <c r="K398" t="str">
        <f>PROPER('Original Data'!K398)</f>
        <v>Cash</v>
      </c>
      <c r="L398" t="s">
        <v>63</v>
      </c>
      <c r="M398" t="str" cm="1">
        <f t="array" ref="M398">_xlfn.IFS(OR('Original Data'!M398=0,'Original Data'!M398="No",'Original Data'!M398=FALSE),"No",OR('Original Data'!M398=1,'Original Data'!M398="Yes",'Original Data'!M398=TRUE),"Yes")</f>
        <v>No</v>
      </c>
    </row>
    <row r="399" spans="1:13" x14ac:dyDescent="0.2">
      <c r="A399">
        <v>398</v>
      </c>
      <c r="B399" t="s">
        <v>24</v>
      </c>
      <c r="C399" s="5">
        <v>45395</v>
      </c>
      <c r="D399" t="s">
        <v>87</v>
      </c>
      <c r="E399" t="s">
        <v>39</v>
      </c>
      <c r="F399" t="s">
        <v>53</v>
      </c>
      <c r="G399" t="s">
        <v>54</v>
      </c>
      <c r="H399">
        <v>5</v>
      </c>
      <c r="I399" s="7">
        <v>0.15</v>
      </c>
      <c r="J399">
        <v>191.04</v>
      </c>
      <c r="K399" t="str">
        <f>PROPER('Original Data'!K399)</f>
        <v>Debit Card</v>
      </c>
      <c r="L399" t="s">
        <v>55</v>
      </c>
      <c r="M399" t="str" cm="1">
        <f t="array" ref="M399">_xlfn.IFS(OR('Original Data'!M399=0,'Original Data'!M399="No",'Original Data'!M399=FALSE),"No",OR('Original Data'!M399=1,'Original Data'!M399="Yes",'Original Data'!M399=TRUE),"Yes")</f>
        <v>Yes</v>
      </c>
    </row>
    <row r="400" spans="1:13" x14ac:dyDescent="0.2">
      <c r="A400">
        <v>399</v>
      </c>
      <c r="B400" t="s">
        <v>78</v>
      </c>
      <c r="C400" s="5">
        <v>45481</v>
      </c>
      <c r="D400" t="s">
        <v>79</v>
      </c>
      <c r="E400" t="s">
        <v>48</v>
      </c>
      <c r="F400" t="s">
        <v>34</v>
      </c>
      <c r="G400" t="s">
        <v>35</v>
      </c>
      <c r="H400">
        <v>1</v>
      </c>
      <c r="J400">
        <v>39.950000000000003</v>
      </c>
      <c r="K400" t="str">
        <f>PROPER('Original Data'!K400)</f>
        <v>Apple Pay</v>
      </c>
      <c r="L400" t="s">
        <v>28</v>
      </c>
      <c r="M400" t="str" cm="1">
        <f t="array" ref="M400">_xlfn.IFS(OR('Original Data'!M400=0,'Original Data'!M400="No",'Original Data'!M400=FALSE),"No",OR('Original Data'!M400=1,'Original Data'!M400="Yes",'Original Data'!M400=TRUE),"Yes")</f>
        <v>Yes</v>
      </c>
    </row>
    <row r="401" spans="1:13" x14ac:dyDescent="0.2">
      <c r="A401">
        <v>400</v>
      </c>
      <c r="B401" t="s">
        <v>85</v>
      </c>
      <c r="C401" s="5">
        <v>45534</v>
      </c>
      <c r="D401" t="s">
        <v>86</v>
      </c>
      <c r="E401" t="s">
        <v>76</v>
      </c>
      <c r="F401" t="s">
        <v>40</v>
      </c>
      <c r="G401" t="s">
        <v>17</v>
      </c>
      <c r="H401">
        <v>5</v>
      </c>
      <c r="I401" s="7">
        <v>0.15</v>
      </c>
      <c r="J401">
        <v>382.29</v>
      </c>
      <c r="K401" t="str">
        <f>PROPER('Original Data'!K401)</f>
        <v>Gift Card</v>
      </c>
      <c r="L401" t="s">
        <v>49</v>
      </c>
      <c r="M401" t="str" cm="1">
        <f t="array" ref="M401">_xlfn.IFS(OR('Original Data'!M401=0,'Original Data'!M401="No",'Original Data'!M401=FALSE),"No",OR('Original Data'!M401=1,'Original Data'!M401="Yes",'Original Data'!M401=TRUE),"Yes")</f>
        <v>Yes</v>
      </c>
    </row>
    <row r="402" spans="1:13" x14ac:dyDescent="0.2">
      <c r="A402">
        <v>401</v>
      </c>
      <c r="B402" t="s">
        <v>68</v>
      </c>
      <c r="C402" s="5">
        <v>45218</v>
      </c>
      <c r="D402" t="s">
        <v>69</v>
      </c>
      <c r="E402" t="s">
        <v>33</v>
      </c>
      <c r="F402" t="s">
        <v>44</v>
      </c>
      <c r="H402">
        <v>3</v>
      </c>
      <c r="I402" s="7">
        <v>0</v>
      </c>
      <c r="J402">
        <v>357</v>
      </c>
      <c r="K402" t="str">
        <f>PROPER('Original Data'!K402)</f>
        <v>Cash</v>
      </c>
      <c r="L402" t="s">
        <v>45</v>
      </c>
      <c r="M402" t="str" cm="1">
        <f t="array" ref="M402">_xlfn.IFS(OR('Original Data'!M402=0,'Original Data'!M402="No",'Original Data'!M402=FALSE),"No",OR('Original Data'!M402=1,'Original Data'!M402="Yes",'Original Data'!M402=TRUE),"Yes")</f>
        <v>No</v>
      </c>
    </row>
    <row r="403" spans="1:13" x14ac:dyDescent="0.2">
      <c r="A403">
        <v>402</v>
      </c>
      <c r="B403" t="s">
        <v>31</v>
      </c>
      <c r="C403" s="5">
        <v>45515</v>
      </c>
      <c r="D403" t="s">
        <v>32</v>
      </c>
      <c r="E403" t="s">
        <v>33</v>
      </c>
      <c r="F403" t="s">
        <v>66</v>
      </c>
      <c r="G403" t="s">
        <v>67</v>
      </c>
      <c r="H403">
        <v>2</v>
      </c>
      <c r="I403" s="7">
        <v>0</v>
      </c>
      <c r="J403">
        <v>159.9</v>
      </c>
      <c r="K403" t="str">
        <f>PROPER('Original Data'!K403)</f>
        <v>Cash</v>
      </c>
      <c r="L403" t="s">
        <v>23</v>
      </c>
      <c r="M403" t="str" cm="1">
        <f t="array" ref="M403">_xlfn.IFS(OR('Original Data'!M403=0,'Original Data'!M403="No",'Original Data'!M403=FALSE),"No",OR('Original Data'!M403=1,'Original Data'!M403="Yes",'Original Data'!M403=TRUE),"Yes")</f>
        <v>No</v>
      </c>
    </row>
    <row r="404" spans="1:13" x14ac:dyDescent="0.2">
      <c r="A404">
        <v>403</v>
      </c>
      <c r="B404" t="s">
        <v>56</v>
      </c>
      <c r="C404" s="5">
        <v>45438</v>
      </c>
      <c r="D404" t="s">
        <v>57</v>
      </c>
      <c r="E404" t="s">
        <v>48</v>
      </c>
      <c r="F404" t="s">
        <v>66</v>
      </c>
      <c r="G404" t="s">
        <v>67</v>
      </c>
      <c r="H404">
        <v>3</v>
      </c>
      <c r="I404" s="7">
        <v>0</v>
      </c>
      <c r="J404">
        <v>255</v>
      </c>
      <c r="K404" t="str">
        <f>PROPER('Original Data'!K404)</f>
        <v>Gift Card</v>
      </c>
      <c r="L404" t="s">
        <v>23</v>
      </c>
      <c r="M404" t="str" cm="1">
        <f t="array" ref="M404">_xlfn.IFS(OR('Original Data'!M404=0,'Original Data'!M404="No",'Original Data'!M404=FALSE),"No",OR('Original Data'!M404=1,'Original Data'!M404="Yes",'Original Data'!M404=TRUE),"Yes")</f>
        <v>Yes</v>
      </c>
    </row>
    <row r="405" spans="1:13" x14ac:dyDescent="0.2">
      <c r="A405">
        <v>404</v>
      </c>
      <c r="B405" t="s">
        <v>81</v>
      </c>
      <c r="C405" s="5">
        <v>45042</v>
      </c>
      <c r="D405" t="str">
        <f>VLOOKUP(B405,'Original Data'!B:D,3,FALSE)</f>
        <v>Slip-On Loafers</v>
      </c>
      <c r="E405" t="str">
        <f>_xlfn.XLOOKUP('Cleaned Data'!B1101,'Original Data'!B:B,'Original Data'!E:E)</f>
        <v>Old Navy</v>
      </c>
      <c r="F405" t="s">
        <v>53</v>
      </c>
      <c r="G405" t="s">
        <v>54</v>
      </c>
      <c r="H405">
        <v>2</v>
      </c>
      <c r="I405" s="7">
        <v>0.25</v>
      </c>
      <c r="J405">
        <v>119.93</v>
      </c>
      <c r="K405" t="str">
        <f>PROPER('Original Data'!K405)</f>
        <v>Apple Pay</v>
      </c>
      <c r="L405" t="s">
        <v>49</v>
      </c>
      <c r="M405" t="s">
        <v>92</v>
      </c>
    </row>
    <row r="406" spans="1:13" x14ac:dyDescent="0.2">
      <c r="A406">
        <v>405</v>
      </c>
      <c r="B406" t="s">
        <v>42</v>
      </c>
      <c r="C406" s="5">
        <v>45466</v>
      </c>
      <c r="D406" t="s">
        <v>91</v>
      </c>
      <c r="E406" t="s">
        <v>15</v>
      </c>
      <c r="F406" t="s">
        <v>40</v>
      </c>
      <c r="G406" t="s">
        <v>17</v>
      </c>
      <c r="H406">
        <v>3</v>
      </c>
      <c r="I406" s="7">
        <v>0</v>
      </c>
      <c r="J406">
        <v>387</v>
      </c>
      <c r="K406" t="s">
        <v>90</v>
      </c>
      <c r="L406" t="s">
        <v>63</v>
      </c>
      <c r="M406" t="str" cm="1">
        <f t="array" ref="M406">_xlfn.IFS(OR('Original Data'!M406=0,'Original Data'!M406="No",'Original Data'!M406=FALSE),"No",OR('Original Data'!M406=1,'Original Data'!M406="Yes",'Original Data'!M406=TRUE),"Yes")</f>
        <v>Yes</v>
      </c>
    </row>
    <row r="407" spans="1:13" x14ac:dyDescent="0.2">
      <c r="A407">
        <v>406</v>
      </c>
      <c r="B407" t="s">
        <v>37</v>
      </c>
      <c r="C407" s="5">
        <v>45296</v>
      </c>
      <c r="D407" t="s">
        <v>38</v>
      </c>
      <c r="E407" t="s">
        <v>39</v>
      </c>
      <c r="F407" t="s">
        <v>21</v>
      </c>
      <c r="G407" t="s">
        <v>22</v>
      </c>
      <c r="H407">
        <v>4</v>
      </c>
      <c r="I407" s="7">
        <v>0.15</v>
      </c>
      <c r="J407">
        <v>220.83</v>
      </c>
      <c r="K407" t="str">
        <f>PROPER('Original Data'!K407)</f>
        <v>Apple Pay</v>
      </c>
      <c r="L407" t="s">
        <v>23</v>
      </c>
      <c r="M407" t="str" cm="1">
        <f t="array" ref="M407">_xlfn.IFS(OR('Original Data'!M407=0,'Original Data'!M407="No",'Original Data'!M407=FALSE),"No",OR('Original Data'!M407=1,'Original Data'!M407="Yes",'Original Data'!M407=TRUE),"Yes")</f>
        <v>Yes</v>
      </c>
    </row>
    <row r="408" spans="1:13" x14ac:dyDescent="0.2">
      <c r="A408">
        <v>407</v>
      </c>
      <c r="B408" t="s">
        <v>37</v>
      </c>
      <c r="C408" s="5">
        <v>45094</v>
      </c>
      <c r="D408" t="s">
        <v>38</v>
      </c>
      <c r="E408" t="s">
        <v>39</v>
      </c>
      <c r="F408" t="s">
        <v>16</v>
      </c>
      <c r="G408" t="s">
        <v>17</v>
      </c>
      <c r="H408">
        <v>4</v>
      </c>
      <c r="I408" s="7">
        <v>0.2</v>
      </c>
      <c r="J408">
        <v>207.84</v>
      </c>
      <c r="K408" t="str">
        <f>PROPER('Original Data'!K408)</f>
        <v>Cash</v>
      </c>
      <c r="L408" t="s">
        <v>41</v>
      </c>
      <c r="M408" t="str" cm="1">
        <f t="array" ref="M408">_xlfn.IFS(OR('Original Data'!M408=0,'Original Data'!M408="No",'Original Data'!M408=FALSE),"No",OR('Original Data'!M408=1,'Original Data'!M408="Yes",'Original Data'!M408=TRUE),"Yes")</f>
        <v>Yes</v>
      </c>
    </row>
    <row r="409" spans="1:13" x14ac:dyDescent="0.2">
      <c r="A409">
        <v>408</v>
      </c>
      <c r="B409" t="s">
        <v>42</v>
      </c>
      <c r="C409" s="5">
        <v>45346</v>
      </c>
      <c r="D409" t="s">
        <v>91</v>
      </c>
      <c r="E409" t="s">
        <v>15</v>
      </c>
      <c r="F409" t="s">
        <v>40</v>
      </c>
      <c r="G409" t="s">
        <v>17</v>
      </c>
      <c r="H409">
        <v>5</v>
      </c>
      <c r="I409" s="7">
        <v>0.2</v>
      </c>
      <c r="J409">
        <v>516</v>
      </c>
      <c r="K409" t="str">
        <f>PROPER('Original Data'!K409)</f>
        <v>Credit Card</v>
      </c>
      <c r="L409" t="s">
        <v>55</v>
      </c>
      <c r="M409" t="str" cm="1">
        <f t="array" ref="M409">_xlfn.IFS(OR('Original Data'!M409=0,'Original Data'!M409="No",'Original Data'!M409=FALSE),"No",OR('Original Data'!M409=1,'Original Data'!M409="Yes",'Original Data'!M409=TRUE),"Yes")</f>
        <v>Yes</v>
      </c>
    </row>
    <row r="410" spans="1:13" x14ac:dyDescent="0.2">
      <c r="A410">
        <v>409</v>
      </c>
      <c r="B410" t="s">
        <v>58</v>
      </c>
      <c r="C410" s="5">
        <v>45401</v>
      </c>
      <c r="D410" t="s">
        <v>59</v>
      </c>
      <c r="E410" t="s">
        <v>15</v>
      </c>
      <c r="G410" t="s">
        <v>25</v>
      </c>
      <c r="H410">
        <v>3</v>
      </c>
      <c r="I410" s="7">
        <v>0.1</v>
      </c>
      <c r="J410">
        <v>161.87</v>
      </c>
      <c r="K410" t="s">
        <v>90</v>
      </c>
      <c r="L410" t="s">
        <v>41</v>
      </c>
      <c r="M410" t="str" cm="1">
        <f t="array" ref="M410">_xlfn.IFS(OR('Original Data'!M410=0,'Original Data'!M410="No",'Original Data'!M410=FALSE),"No",OR('Original Data'!M410=1,'Original Data'!M410="Yes",'Original Data'!M410=TRUE),"Yes")</f>
        <v>Yes</v>
      </c>
    </row>
    <row r="411" spans="1:13" x14ac:dyDescent="0.2">
      <c r="A411">
        <v>410</v>
      </c>
      <c r="B411" t="s">
        <v>85</v>
      </c>
      <c r="C411" s="5">
        <v>45049</v>
      </c>
      <c r="D411" t="s">
        <v>86</v>
      </c>
      <c r="E411" t="s">
        <v>76</v>
      </c>
      <c r="F411" t="s">
        <v>53</v>
      </c>
      <c r="G411" t="s">
        <v>54</v>
      </c>
      <c r="H411">
        <v>2</v>
      </c>
      <c r="I411" s="7">
        <v>0.25</v>
      </c>
      <c r="J411">
        <v>134.93</v>
      </c>
      <c r="K411" t="str">
        <f>PROPER('Original Data'!K411)</f>
        <v>Credit Card</v>
      </c>
      <c r="L411" t="s">
        <v>63</v>
      </c>
      <c r="M411" t="str" cm="1">
        <f t="array" ref="M411">_xlfn.IFS(OR('Original Data'!M411=0,'Original Data'!M411="No",'Original Data'!M411=FALSE),"No",OR('Original Data'!M411=1,'Original Data'!M411="Yes",'Original Data'!M411=TRUE),"Yes")</f>
        <v>Yes</v>
      </c>
    </row>
    <row r="412" spans="1:13" x14ac:dyDescent="0.2">
      <c r="A412">
        <v>411</v>
      </c>
      <c r="B412" t="s">
        <v>68</v>
      </c>
      <c r="C412" s="5">
        <v>45522</v>
      </c>
      <c r="D412" t="s">
        <v>69</v>
      </c>
      <c r="E412" t="s">
        <v>33</v>
      </c>
      <c r="F412" t="s">
        <v>16</v>
      </c>
      <c r="G412" t="s">
        <v>17</v>
      </c>
      <c r="H412">
        <v>5</v>
      </c>
      <c r="I412" s="7">
        <v>0</v>
      </c>
      <c r="J412">
        <v>595</v>
      </c>
      <c r="K412" t="str">
        <f>PROPER('Original Data'!K412)</f>
        <v>Debit Card</v>
      </c>
      <c r="L412" t="s">
        <v>30</v>
      </c>
      <c r="M412" t="str" cm="1">
        <f t="array" ref="M412">_xlfn.IFS(OR('Original Data'!M412=0,'Original Data'!M412="No",'Original Data'!M412=FALSE),"No",OR('Original Data'!M412=1,'Original Data'!M412="Yes",'Original Data'!M412=TRUE),"Yes")</f>
        <v>No</v>
      </c>
    </row>
    <row r="413" spans="1:13" x14ac:dyDescent="0.2">
      <c r="A413">
        <v>412</v>
      </c>
      <c r="B413" t="s">
        <v>50</v>
      </c>
      <c r="C413" s="5">
        <v>45114</v>
      </c>
      <c r="D413" t="s">
        <v>51</v>
      </c>
      <c r="E413" t="s">
        <v>15</v>
      </c>
      <c r="F413" t="s">
        <v>26</v>
      </c>
      <c r="G413" t="s">
        <v>22</v>
      </c>
      <c r="H413">
        <v>3</v>
      </c>
      <c r="I413" s="7">
        <v>0</v>
      </c>
      <c r="J413">
        <v>209.85</v>
      </c>
      <c r="K413" t="str">
        <f>PROPER('Original Data'!K413)</f>
        <v>Apple Pay</v>
      </c>
      <c r="L413" t="s">
        <v>63</v>
      </c>
      <c r="M413" t="str" cm="1">
        <f t="array" ref="M413">_xlfn.IFS(OR('Original Data'!M413=0,'Original Data'!M413="No",'Original Data'!M413=FALSE),"No",OR('Original Data'!M413=1,'Original Data'!M413="Yes",'Original Data'!M413=TRUE),"Yes")</f>
        <v>No</v>
      </c>
    </row>
    <row r="414" spans="1:13" x14ac:dyDescent="0.2">
      <c r="A414">
        <v>413</v>
      </c>
      <c r="B414" t="s">
        <v>46</v>
      </c>
      <c r="C414" s="5">
        <v>45067</v>
      </c>
      <c r="D414" t="s">
        <v>47</v>
      </c>
      <c r="E414" t="s">
        <v>48</v>
      </c>
      <c r="F414" t="s">
        <v>40</v>
      </c>
      <c r="G414" t="s">
        <v>17</v>
      </c>
      <c r="H414">
        <v>5</v>
      </c>
      <c r="I414" s="7">
        <v>0.15</v>
      </c>
      <c r="J414">
        <v>212.29</v>
      </c>
      <c r="K414" t="str">
        <f>PROPER('Original Data'!K414)</f>
        <v>Credit Card</v>
      </c>
      <c r="L414" t="s">
        <v>45</v>
      </c>
      <c r="M414" t="str" cm="1">
        <f t="array" ref="M414">_xlfn.IFS(OR('Original Data'!M414=0,'Original Data'!M414="No",'Original Data'!M414=FALSE),"No",OR('Original Data'!M414=1,'Original Data'!M414="Yes",'Original Data'!M414=TRUE),"Yes")</f>
        <v>No</v>
      </c>
    </row>
    <row r="415" spans="1:13" x14ac:dyDescent="0.2">
      <c r="A415">
        <v>414</v>
      </c>
      <c r="B415" t="s">
        <v>85</v>
      </c>
      <c r="C415" s="5">
        <v>44944</v>
      </c>
      <c r="D415" t="s">
        <v>86</v>
      </c>
      <c r="E415" t="s">
        <v>76</v>
      </c>
      <c r="F415" t="s">
        <v>16</v>
      </c>
      <c r="G415" t="s">
        <v>17</v>
      </c>
      <c r="H415">
        <v>4</v>
      </c>
      <c r="I415" s="7">
        <v>0</v>
      </c>
      <c r="J415">
        <v>359.8</v>
      </c>
      <c r="K415" t="str">
        <f>PROPER('Original Data'!K415)</f>
        <v>Debit Card</v>
      </c>
      <c r="L415" t="s">
        <v>55</v>
      </c>
      <c r="M415" t="str" cm="1">
        <f t="array" ref="M415">_xlfn.IFS(OR('Original Data'!M415=0,'Original Data'!M415="No",'Original Data'!M415=FALSE),"No",OR('Original Data'!M415=1,'Original Data'!M415="Yes",'Original Data'!M415=TRUE),"Yes")</f>
        <v>Yes</v>
      </c>
    </row>
    <row r="416" spans="1:13" x14ac:dyDescent="0.2">
      <c r="A416">
        <v>415</v>
      </c>
      <c r="B416" t="s">
        <v>13</v>
      </c>
      <c r="C416" s="5">
        <v>45072</v>
      </c>
      <c r="D416" t="s">
        <v>14</v>
      </c>
      <c r="E416" t="s">
        <v>15</v>
      </c>
      <c r="F416" t="s">
        <v>53</v>
      </c>
      <c r="G416" t="s">
        <v>54</v>
      </c>
      <c r="H416">
        <v>1</v>
      </c>
      <c r="I416" s="7">
        <v>0.05</v>
      </c>
      <c r="J416">
        <v>18.989999999999998</v>
      </c>
      <c r="K416" t="str">
        <f>PROPER('Original Data'!K416)</f>
        <v>Apple Pay</v>
      </c>
      <c r="L416" t="s">
        <v>45</v>
      </c>
      <c r="M416" t="str" cm="1">
        <f t="array" ref="M416">_xlfn.IFS(OR('Original Data'!M416=0,'Original Data'!M416="No",'Original Data'!M416=FALSE),"No",OR('Original Data'!M416=1,'Original Data'!M416="Yes",'Original Data'!M416=TRUE),"Yes")</f>
        <v>No</v>
      </c>
    </row>
    <row r="417" spans="1:13" x14ac:dyDescent="0.2">
      <c r="A417">
        <v>416</v>
      </c>
      <c r="B417" t="s">
        <v>85</v>
      </c>
      <c r="C417" s="5">
        <v>45602</v>
      </c>
      <c r="D417" t="s">
        <v>86</v>
      </c>
      <c r="E417" t="s">
        <v>76</v>
      </c>
      <c r="F417" t="s">
        <v>44</v>
      </c>
      <c r="H417">
        <v>1</v>
      </c>
      <c r="I417" s="7">
        <v>0</v>
      </c>
      <c r="J417">
        <v>89.95</v>
      </c>
      <c r="K417" t="str">
        <f>PROPER('Original Data'!K417)</f>
        <v>Credit Card</v>
      </c>
      <c r="L417" t="s">
        <v>55</v>
      </c>
      <c r="M417" t="str" cm="1">
        <f t="array" ref="M417">_xlfn.IFS(OR('Original Data'!M417=0,'Original Data'!M417="No",'Original Data'!M417=FALSE),"No",OR('Original Data'!M417=1,'Original Data'!M417="Yes",'Original Data'!M417=TRUE),"Yes")</f>
        <v>Yes</v>
      </c>
    </row>
    <row r="418" spans="1:13" x14ac:dyDescent="0.2">
      <c r="A418">
        <v>417</v>
      </c>
      <c r="B418" t="s">
        <v>81</v>
      </c>
      <c r="C418" s="5">
        <v>45019</v>
      </c>
      <c r="D418" t="s">
        <v>82</v>
      </c>
      <c r="E418" t="s">
        <v>15</v>
      </c>
      <c r="F418" t="s">
        <v>34</v>
      </c>
      <c r="G418" t="s">
        <v>35</v>
      </c>
      <c r="H418">
        <v>2</v>
      </c>
      <c r="I418" s="7">
        <v>0</v>
      </c>
      <c r="J418">
        <v>159.9</v>
      </c>
      <c r="K418" t="str">
        <f>PROPER('Original Data'!K418)</f>
        <v>Credit Card</v>
      </c>
      <c r="L418" t="s">
        <v>49</v>
      </c>
      <c r="M418" t="str" cm="1">
        <f t="array" ref="M418">_xlfn.IFS(OR('Original Data'!M418=0,'Original Data'!M418="No",'Original Data'!M418=FALSE),"No",OR('Original Data'!M418=1,'Original Data'!M418="Yes",'Original Data'!M418=TRUE),"Yes")</f>
        <v>Yes</v>
      </c>
    </row>
    <row r="419" spans="1:13" x14ac:dyDescent="0.2">
      <c r="A419">
        <v>418</v>
      </c>
      <c r="B419" t="s">
        <v>46</v>
      </c>
      <c r="C419" s="5">
        <v>45123</v>
      </c>
      <c r="D419" t="s">
        <v>47</v>
      </c>
      <c r="E419" t="s">
        <v>48</v>
      </c>
      <c r="F419" t="s">
        <v>16</v>
      </c>
      <c r="G419" t="s">
        <v>17</v>
      </c>
      <c r="H419">
        <v>5</v>
      </c>
      <c r="I419" s="7">
        <v>0</v>
      </c>
      <c r="J419">
        <v>249.75</v>
      </c>
      <c r="K419" t="str">
        <f>PROPER('Original Data'!K419)</f>
        <v>Apple Pay</v>
      </c>
      <c r="L419" t="s">
        <v>63</v>
      </c>
      <c r="M419" t="str" cm="1">
        <f t="array" ref="M419">_xlfn.IFS(OR('Original Data'!M419=0,'Original Data'!M419="No",'Original Data'!M419=FALSE),"No",OR('Original Data'!M419=1,'Original Data'!M419="Yes",'Original Data'!M419=TRUE),"Yes")</f>
        <v>No</v>
      </c>
    </row>
    <row r="420" spans="1:13" x14ac:dyDescent="0.2">
      <c r="A420">
        <v>419</v>
      </c>
      <c r="B420" t="s">
        <v>24</v>
      </c>
      <c r="C420" s="5">
        <v>45361</v>
      </c>
      <c r="D420" t="s">
        <v>87</v>
      </c>
      <c r="E420" t="s">
        <v>39</v>
      </c>
      <c r="F420" t="s">
        <v>66</v>
      </c>
      <c r="G420" t="s">
        <v>67</v>
      </c>
      <c r="H420">
        <v>1</v>
      </c>
      <c r="I420" s="7">
        <v>0</v>
      </c>
      <c r="J420">
        <v>44.95</v>
      </c>
      <c r="K420" t="str">
        <f>PROPER('Original Data'!K420)</f>
        <v>Gift Card</v>
      </c>
      <c r="L420" t="s">
        <v>49</v>
      </c>
      <c r="M420" t="str" cm="1">
        <f t="array" ref="M420">_xlfn.IFS(OR('Original Data'!M420=0,'Original Data'!M420="No",'Original Data'!M420=FALSE),"No",OR('Original Data'!M420=1,'Original Data'!M420="Yes",'Original Data'!M420=TRUE),"Yes")</f>
        <v>Yes</v>
      </c>
    </row>
    <row r="421" spans="1:13" x14ac:dyDescent="0.2">
      <c r="A421">
        <v>420</v>
      </c>
      <c r="B421" t="s">
        <v>56</v>
      </c>
      <c r="C421" s="5">
        <v>45045</v>
      </c>
      <c r="D421" t="s">
        <v>57</v>
      </c>
      <c r="E421" t="s">
        <v>48</v>
      </c>
      <c r="F421" t="s">
        <v>53</v>
      </c>
      <c r="G421" t="s">
        <v>54</v>
      </c>
      <c r="H421">
        <v>1</v>
      </c>
      <c r="I421" s="7">
        <v>0</v>
      </c>
      <c r="J421">
        <v>85</v>
      </c>
      <c r="K421" t="str">
        <f>PROPER('Original Data'!K421)</f>
        <v>Gift Card</v>
      </c>
      <c r="L421" t="s">
        <v>49</v>
      </c>
      <c r="M421" t="str" cm="1">
        <f t="array" ref="M421">_xlfn.IFS(OR('Original Data'!M421=0,'Original Data'!M421="No",'Original Data'!M421=FALSE),"No",OR('Original Data'!M421=1,'Original Data'!M421="Yes",'Original Data'!M421=TRUE),"Yes")</f>
        <v>Yes</v>
      </c>
    </row>
    <row r="422" spans="1:13" x14ac:dyDescent="0.2">
      <c r="A422">
        <v>421</v>
      </c>
      <c r="B422" t="s">
        <v>42</v>
      </c>
      <c r="C422" s="5">
        <v>45617</v>
      </c>
      <c r="D422" t="s">
        <v>91</v>
      </c>
      <c r="E422" t="s">
        <v>15</v>
      </c>
      <c r="F422" t="s">
        <v>34</v>
      </c>
      <c r="G422" t="s">
        <v>35</v>
      </c>
      <c r="H422">
        <v>4</v>
      </c>
      <c r="I422" s="7">
        <v>0.15</v>
      </c>
      <c r="J422">
        <v>438.6</v>
      </c>
      <c r="K422" t="str">
        <f>PROPER('Original Data'!K422)</f>
        <v>Credit Card</v>
      </c>
      <c r="L422" t="s">
        <v>45</v>
      </c>
      <c r="M422" t="str" cm="1">
        <f t="array" ref="M422">_xlfn.IFS(OR('Original Data'!M422=0,'Original Data'!M422="No",'Original Data'!M422=FALSE),"No",OR('Original Data'!M422=1,'Original Data'!M422="Yes",'Original Data'!M422=TRUE),"Yes")</f>
        <v>Yes</v>
      </c>
    </row>
    <row r="423" spans="1:13" x14ac:dyDescent="0.2">
      <c r="A423">
        <v>422</v>
      </c>
      <c r="B423" t="s">
        <v>42</v>
      </c>
      <c r="C423" s="5">
        <v>45536</v>
      </c>
      <c r="D423" t="s">
        <v>91</v>
      </c>
      <c r="E423" t="s">
        <v>15</v>
      </c>
      <c r="F423" t="s">
        <v>66</v>
      </c>
      <c r="G423" t="s">
        <v>67</v>
      </c>
      <c r="H423">
        <v>3</v>
      </c>
      <c r="I423" s="7">
        <v>0.05</v>
      </c>
      <c r="J423">
        <v>367.65</v>
      </c>
      <c r="K423" t="str">
        <f>PROPER('Original Data'!K423)</f>
        <v>Debit Card</v>
      </c>
      <c r="L423" t="s">
        <v>49</v>
      </c>
      <c r="M423" t="str" cm="1">
        <f t="array" ref="M423">_xlfn.IFS(OR('Original Data'!M423=0,'Original Data'!M423="No",'Original Data'!M423=FALSE),"No",OR('Original Data'!M423=1,'Original Data'!M423="Yes",'Original Data'!M423=TRUE),"Yes")</f>
        <v>Yes</v>
      </c>
    </row>
    <row r="424" spans="1:13" x14ac:dyDescent="0.2">
      <c r="A424">
        <v>423</v>
      </c>
      <c r="B424" t="s">
        <v>68</v>
      </c>
      <c r="C424" s="5">
        <v>45212</v>
      </c>
      <c r="D424" t="s">
        <v>69</v>
      </c>
      <c r="E424" t="s">
        <v>33</v>
      </c>
      <c r="F424" t="s">
        <v>21</v>
      </c>
      <c r="G424" t="s">
        <v>22</v>
      </c>
      <c r="H424">
        <v>4</v>
      </c>
      <c r="I424" s="7">
        <v>0.2</v>
      </c>
      <c r="J424">
        <v>380.8</v>
      </c>
      <c r="K424" t="s">
        <v>90</v>
      </c>
      <c r="L424" t="s">
        <v>41</v>
      </c>
      <c r="M424" t="str" cm="1">
        <f t="array" ref="M424">_xlfn.IFS(OR('Original Data'!M424=0,'Original Data'!M424="No",'Original Data'!M424=FALSE),"No",OR('Original Data'!M424=1,'Original Data'!M424="Yes",'Original Data'!M424=TRUE),"Yes")</f>
        <v>No</v>
      </c>
    </row>
    <row r="425" spans="1:13" x14ac:dyDescent="0.2">
      <c r="A425">
        <v>424</v>
      </c>
      <c r="B425" t="s">
        <v>42</v>
      </c>
      <c r="C425" s="5">
        <v>45546</v>
      </c>
      <c r="D425" t="s">
        <v>91</v>
      </c>
      <c r="E425" t="s">
        <v>15</v>
      </c>
      <c r="F425" t="s">
        <v>26</v>
      </c>
      <c r="G425" t="s">
        <v>22</v>
      </c>
      <c r="H425">
        <v>4</v>
      </c>
      <c r="I425" s="7">
        <v>0</v>
      </c>
      <c r="J425">
        <v>516</v>
      </c>
      <c r="K425" t="str">
        <f>PROPER('Original Data'!K425)</f>
        <v>Gift Card</v>
      </c>
      <c r="L425" t="s">
        <v>45</v>
      </c>
      <c r="M425" t="str" cm="1">
        <f t="array" ref="M425">_xlfn.IFS(OR('Original Data'!M425=0,'Original Data'!M425="No",'Original Data'!M425=FALSE),"No",OR('Original Data'!M425=1,'Original Data'!M425="Yes",'Original Data'!M425=TRUE),"Yes")</f>
        <v>Yes</v>
      </c>
    </row>
    <row r="426" spans="1:13" x14ac:dyDescent="0.2">
      <c r="A426">
        <v>425</v>
      </c>
      <c r="B426" t="s">
        <v>83</v>
      </c>
      <c r="C426" s="5">
        <v>45486</v>
      </c>
      <c r="D426" t="s">
        <v>84</v>
      </c>
      <c r="E426" t="s">
        <v>48</v>
      </c>
      <c r="F426" t="s">
        <v>53</v>
      </c>
      <c r="G426" t="s">
        <v>54</v>
      </c>
      <c r="H426">
        <v>4</v>
      </c>
      <c r="I426" s="7">
        <v>0.1</v>
      </c>
      <c r="J426">
        <v>179.82</v>
      </c>
      <c r="K426" t="s">
        <v>90</v>
      </c>
      <c r="L426" t="s">
        <v>49</v>
      </c>
      <c r="M426" t="str" cm="1">
        <f t="array" ref="M426">_xlfn.IFS(OR('Original Data'!M426=0,'Original Data'!M426="No",'Original Data'!M426=FALSE),"No",OR('Original Data'!M426=1,'Original Data'!M426="Yes",'Original Data'!M426=TRUE),"Yes")</f>
        <v>No</v>
      </c>
    </row>
    <row r="427" spans="1:13" x14ac:dyDescent="0.2">
      <c r="A427">
        <v>426</v>
      </c>
      <c r="B427" t="s">
        <v>58</v>
      </c>
      <c r="C427" s="5">
        <v>45095</v>
      </c>
      <c r="D427" t="s">
        <v>59</v>
      </c>
      <c r="E427" t="s">
        <v>15</v>
      </c>
      <c r="F427" t="s">
        <v>44</v>
      </c>
      <c r="H427">
        <v>1</v>
      </c>
      <c r="I427" s="7">
        <v>0</v>
      </c>
      <c r="J427">
        <v>59.95</v>
      </c>
      <c r="K427" t="str">
        <f>PROPER('Original Data'!K427)</f>
        <v>Apple Pay</v>
      </c>
      <c r="L427" t="s">
        <v>30</v>
      </c>
      <c r="M427" t="str" cm="1">
        <f t="array" ref="M427">_xlfn.IFS(OR('Original Data'!M427=0,'Original Data'!M427="No",'Original Data'!M427=FALSE),"No",OR('Original Data'!M427=1,'Original Data'!M427="Yes",'Original Data'!M427=TRUE),"Yes")</f>
        <v>Yes</v>
      </c>
    </row>
    <row r="428" spans="1:13" x14ac:dyDescent="0.2">
      <c r="A428">
        <v>427</v>
      </c>
      <c r="B428" t="s">
        <v>83</v>
      </c>
      <c r="C428" s="5">
        <v>45196</v>
      </c>
      <c r="D428" t="str">
        <f>VLOOKUP(B428,'Original Data'!B:D,3,FALSE)</f>
        <v>Graphic Hoodie</v>
      </c>
      <c r="E428" t="str">
        <f>_xlfn.XLOOKUP('Cleaned Data'!B903,'Original Data'!B:B,'Original Data'!E:E)</f>
        <v>Banana Republic</v>
      </c>
      <c r="F428" t="s">
        <v>44</v>
      </c>
      <c r="H428">
        <v>5</v>
      </c>
      <c r="I428" s="7">
        <v>0</v>
      </c>
      <c r="J428">
        <v>249.75</v>
      </c>
      <c r="K428" t="str">
        <f>PROPER('Original Data'!K428)</f>
        <v>Gift Card</v>
      </c>
      <c r="L428" t="s">
        <v>23</v>
      </c>
      <c r="M428" t="s">
        <v>92</v>
      </c>
    </row>
    <row r="429" spans="1:13" x14ac:dyDescent="0.2">
      <c r="A429">
        <v>428</v>
      </c>
      <c r="B429" t="s">
        <v>68</v>
      </c>
      <c r="C429" s="5">
        <v>45026</v>
      </c>
      <c r="D429" t="s">
        <v>69</v>
      </c>
      <c r="E429" t="s">
        <v>33</v>
      </c>
      <c r="F429" t="s">
        <v>40</v>
      </c>
      <c r="G429" t="s">
        <v>17</v>
      </c>
      <c r="H429">
        <v>5</v>
      </c>
      <c r="I429" s="7">
        <v>0</v>
      </c>
      <c r="J429">
        <v>595</v>
      </c>
      <c r="K429" t="str">
        <f>PROPER('Original Data'!K429)</f>
        <v>Gift Card</v>
      </c>
      <c r="L429" t="s">
        <v>49</v>
      </c>
      <c r="M429" t="str" cm="1">
        <f t="array" ref="M429">_xlfn.IFS(OR('Original Data'!M429=0,'Original Data'!M429="No",'Original Data'!M429=FALSE),"No",OR('Original Data'!M429=1,'Original Data'!M429="Yes",'Original Data'!M429=TRUE),"Yes")</f>
        <v>No</v>
      </c>
    </row>
    <row r="430" spans="1:13" x14ac:dyDescent="0.2">
      <c r="A430">
        <v>429</v>
      </c>
      <c r="B430" t="s">
        <v>50</v>
      </c>
      <c r="C430" s="5">
        <v>45478</v>
      </c>
      <c r="D430" t="str">
        <f>VLOOKUP(B430,'Original Data'!B:D,3,FALSE)</f>
        <v>High-Rise Jeans</v>
      </c>
      <c r="E430" t="str">
        <f>_xlfn.XLOOKUP('Cleaned Data'!B549,'Original Data'!B:B,'Original Data'!E:E)</f>
        <v>Old Navy</v>
      </c>
      <c r="G430" t="s">
        <v>25</v>
      </c>
      <c r="H430">
        <v>1</v>
      </c>
      <c r="I430" s="7">
        <v>0.15</v>
      </c>
      <c r="J430">
        <v>59.46</v>
      </c>
      <c r="K430" t="str">
        <f>PROPER('Original Data'!K430)</f>
        <v>Credit Card</v>
      </c>
      <c r="L430" t="s">
        <v>45</v>
      </c>
      <c r="M430" t="s">
        <v>92</v>
      </c>
    </row>
    <row r="431" spans="1:13" x14ac:dyDescent="0.2">
      <c r="A431">
        <v>430</v>
      </c>
      <c r="B431" t="s">
        <v>88</v>
      </c>
      <c r="C431" s="5">
        <v>45634</v>
      </c>
      <c r="D431" t="s">
        <v>89</v>
      </c>
      <c r="E431" t="s">
        <v>33</v>
      </c>
      <c r="F431" t="s">
        <v>21</v>
      </c>
      <c r="G431" t="s">
        <v>22</v>
      </c>
      <c r="H431">
        <v>5</v>
      </c>
      <c r="I431" s="7">
        <v>0</v>
      </c>
      <c r="J431">
        <v>990</v>
      </c>
      <c r="K431" t="str">
        <f>PROPER('Original Data'!K431)</f>
        <v>Credit Card</v>
      </c>
      <c r="L431" t="s">
        <v>41</v>
      </c>
      <c r="M431" t="str" cm="1">
        <f t="array" ref="M431">_xlfn.IFS(OR('Original Data'!M431=0,'Original Data'!M431="No",'Original Data'!M431=FALSE),"No",OR('Original Data'!M431=1,'Original Data'!M431="Yes",'Original Data'!M431=TRUE),"Yes")</f>
        <v>No</v>
      </c>
    </row>
    <row r="432" spans="1:13" x14ac:dyDescent="0.2">
      <c r="A432">
        <v>431</v>
      </c>
      <c r="B432" t="s">
        <v>56</v>
      </c>
      <c r="C432" s="5">
        <v>45231</v>
      </c>
      <c r="D432" t="s">
        <v>57</v>
      </c>
      <c r="E432" t="s">
        <v>48</v>
      </c>
      <c r="F432" t="s">
        <v>16</v>
      </c>
      <c r="G432" t="s">
        <v>17</v>
      </c>
      <c r="H432">
        <v>2</v>
      </c>
      <c r="I432" s="7">
        <v>0.1</v>
      </c>
      <c r="J432">
        <v>153</v>
      </c>
      <c r="K432" t="str">
        <f>PROPER('Original Data'!K432)</f>
        <v>Credit Card</v>
      </c>
      <c r="L432" t="s">
        <v>30</v>
      </c>
      <c r="M432" t="str" cm="1">
        <f t="array" ref="M432">_xlfn.IFS(OR('Original Data'!M432=0,'Original Data'!M432="No",'Original Data'!M432=FALSE),"No",OR('Original Data'!M432=1,'Original Data'!M432="Yes",'Original Data'!M432=TRUE),"Yes")</f>
        <v>Yes</v>
      </c>
    </row>
    <row r="433" spans="1:13" x14ac:dyDescent="0.2">
      <c r="A433">
        <v>432</v>
      </c>
      <c r="B433" t="s">
        <v>85</v>
      </c>
      <c r="C433" s="5">
        <v>45236</v>
      </c>
      <c r="D433" t="s">
        <v>86</v>
      </c>
      <c r="E433" t="s">
        <v>76</v>
      </c>
      <c r="F433" t="s">
        <v>44</v>
      </c>
      <c r="H433">
        <v>2</v>
      </c>
      <c r="I433" s="7">
        <v>0.15</v>
      </c>
      <c r="J433">
        <v>152.91999999999999</v>
      </c>
      <c r="K433" t="str">
        <f>PROPER('Original Data'!K433)</f>
        <v>Apple Pay</v>
      </c>
      <c r="L433" t="s">
        <v>55</v>
      </c>
      <c r="M433" t="str" cm="1">
        <f t="array" ref="M433">_xlfn.IFS(OR('Original Data'!M433=0,'Original Data'!M433="No",'Original Data'!M433=FALSE),"No",OR('Original Data'!M433=1,'Original Data'!M433="Yes",'Original Data'!M433=TRUE),"Yes")</f>
        <v>Yes</v>
      </c>
    </row>
    <row r="434" spans="1:13" x14ac:dyDescent="0.2">
      <c r="A434">
        <v>433</v>
      </c>
      <c r="B434" t="s">
        <v>13</v>
      </c>
      <c r="C434" s="5">
        <v>45603</v>
      </c>
      <c r="D434" t="s">
        <v>14</v>
      </c>
      <c r="E434" t="s">
        <v>15</v>
      </c>
      <c r="F434" t="s">
        <v>66</v>
      </c>
      <c r="G434" t="s">
        <v>67</v>
      </c>
      <c r="H434">
        <v>5</v>
      </c>
      <c r="I434" s="7">
        <v>0</v>
      </c>
      <c r="J434">
        <v>99.95</v>
      </c>
      <c r="K434" t="str">
        <f>PROPER('Original Data'!K434)</f>
        <v>Debit Card</v>
      </c>
      <c r="L434" t="s">
        <v>41</v>
      </c>
      <c r="M434" t="str" cm="1">
        <f t="array" ref="M434">_xlfn.IFS(OR('Original Data'!M434=0,'Original Data'!M434="No",'Original Data'!M434=FALSE),"No",OR('Original Data'!M434=1,'Original Data'!M434="Yes",'Original Data'!M434=TRUE),"Yes")</f>
        <v>No</v>
      </c>
    </row>
    <row r="435" spans="1:13" x14ac:dyDescent="0.2">
      <c r="A435">
        <v>434</v>
      </c>
      <c r="B435" t="s">
        <v>78</v>
      </c>
      <c r="C435" s="5">
        <v>45173</v>
      </c>
      <c r="D435" t="s">
        <v>79</v>
      </c>
      <c r="E435" t="s">
        <v>48</v>
      </c>
      <c r="F435" t="s">
        <v>26</v>
      </c>
      <c r="G435" t="s">
        <v>22</v>
      </c>
      <c r="H435">
        <v>2</v>
      </c>
      <c r="I435" s="7">
        <v>0.15</v>
      </c>
      <c r="J435">
        <v>67.92</v>
      </c>
      <c r="K435" t="str">
        <f>PROPER('Original Data'!K435)</f>
        <v>Debit Card</v>
      </c>
      <c r="L435" t="s">
        <v>41</v>
      </c>
      <c r="M435" t="str" cm="1">
        <f t="array" ref="M435">_xlfn.IFS(OR('Original Data'!M435=0,'Original Data'!M435="No",'Original Data'!M435=FALSE),"No",OR('Original Data'!M435=1,'Original Data'!M435="Yes",'Original Data'!M435=TRUE),"Yes")</f>
        <v>Yes</v>
      </c>
    </row>
    <row r="436" spans="1:13" x14ac:dyDescent="0.2">
      <c r="A436">
        <v>435</v>
      </c>
      <c r="B436" t="s">
        <v>50</v>
      </c>
      <c r="C436" s="5">
        <v>45171</v>
      </c>
      <c r="D436" t="s">
        <v>51</v>
      </c>
      <c r="E436" t="s">
        <v>15</v>
      </c>
      <c r="F436" t="s">
        <v>53</v>
      </c>
      <c r="G436" t="s">
        <v>54</v>
      </c>
      <c r="H436">
        <v>2</v>
      </c>
      <c r="I436" s="7">
        <v>0.1</v>
      </c>
      <c r="J436">
        <v>125.91</v>
      </c>
      <c r="K436" t="str">
        <f>PROPER('Original Data'!K436)</f>
        <v>Gift Card</v>
      </c>
      <c r="L436" t="s">
        <v>63</v>
      </c>
      <c r="M436" t="str" cm="1">
        <f t="array" ref="M436">_xlfn.IFS(OR('Original Data'!M436=0,'Original Data'!M436="No",'Original Data'!M436=FALSE),"No",OR('Original Data'!M436=1,'Original Data'!M436="Yes",'Original Data'!M436=TRUE),"Yes")</f>
        <v>No</v>
      </c>
    </row>
    <row r="437" spans="1:13" x14ac:dyDescent="0.2">
      <c r="A437">
        <v>436</v>
      </c>
      <c r="B437" t="s">
        <v>37</v>
      </c>
      <c r="C437" s="5">
        <v>45191</v>
      </c>
      <c r="D437" t="str">
        <f>VLOOKUP(B437,'Original Data'!B:D,3,FALSE)</f>
        <v>Running Leggings</v>
      </c>
      <c r="E437" t="str">
        <f>_xlfn.XLOOKUP('Cleaned Data'!B367,'Original Data'!B:B,'Original Data'!E:E)</f>
        <v>Old Navy</v>
      </c>
      <c r="F437" t="s">
        <v>26</v>
      </c>
      <c r="G437" t="s">
        <v>22</v>
      </c>
      <c r="H437">
        <v>2</v>
      </c>
      <c r="I437" s="7">
        <v>0.1</v>
      </c>
      <c r="J437">
        <v>116.91</v>
      </c>
      <c r="K437" t="str">
        <f>PROPER('Original Data'!K437)</f>
        <v>Credit Card</v>
      </c>
      <c r="L437" t="s">
        <v>45</v>
      </c>
      <c r="M437" t="s">
        <v>92</v>
      </c>
    </row>
    <row r="438" spans="1:13" x14ac:dyDescent="0.2">
      <c r="A438">
        <v>437</v>
      </c>
      <c r="B438" t="s">
        <v>42</v>
      </c>
      <c r="C438" s="5">
        <v>45070</v>
      </c>
      <c r="D438" t="s">
        <v>91</v>
      </c>
      <c r="E438" t="s">
        <v>15</v>
      </c>
      <c r="F438" t="s">
        <v>53</v>
      </c>
      <c r="G438" t="s">
        <v>54</v>
      </c>
      <c r="H438">
        <v>4</v>
      </c>
      <c r="I438" s="7">
        <v>0.15</v>
      </c>
      <c r="J438">
        <v>438.6</v>
      </c>
      <c r="K438" t="str">
        <f>PROPER('Original Data'!K438)</f>
        <v>Gift Card</v>
      </c>
      <c r="L438" t="s">
        <v>55</v>
      </c>
      <c r="M438" t="str" cm="1">
        <f t="array" ref="M438">_xlfn.IFS(OR('Original Data'!M438=0,'Original Data'!M438="No",'Original Data'!M438=FALSE),"No",OR('Original Data'!M438=1,'Original Data'!M438="Yes",'Original Data'!M438=TRUE),"Yes")</f>
        <v>Yes</v>
      </c>
    </row>
    <row r="439" spans="1:13" x14ac:dyDescent="0.2">
      <c r="A439">
        <v>438</v>
      </c>
      <c r="B439" t="s">
        <v>19</v>
      </c>
      <c r="C439" s="5">
        <v>45525</v>
      </c>
      <c r="D439" t="s">
        <v>20</v>
      </c>
      <c r="E439" t="s">
        <v>15</v>
      </c>
      <c r="F439" t="s">
        <v>16</v>
      </c>
      <c r="G439" t="s">
        <v>17</v>
      </c>
      <c r="H439">
        <v>5</v>
      </c>
      <c r="I439" s="7">
        <v>0</v>
      </c>
      <c r="J439">
        <v>449.75</v>
      </c>
      <c r="K439" t="str">
        <f>PROPER('Original Data'!K439)</f>
        <v>Cash</v>
      </c>
      <c r="L439" t="s">
        <v>49</v>
      </c>
      <c r="M439" t="str" cm="1">
        <f t="array" ref="M439">_xlfn.IFS(OR('Original Data'!M439=0,'Original Data'!M439="No",'Original Data'!M439=FALSE),"No",OR('Original Data'!M439=1,'Original Data'!M439="Yes",'Original Data'!M439=TRUE),"Yes")</f>
        <v>Yes</v>
      </c>
    </row>
    <row r="440" spans="1:13" x14ac:dyDescent="0.2">
      <c r="A440">
        <v>439</v>
      </c>
      <c r="B440" t="s">
        <v>81</v>
      </c>
      <c r="C440" s="5">
        <v>45042</v>
      </c>
      <c r="D440" t="s">
        <v>82</v>
      </c>
      <c r="E440" t="s">
        <v>15</v>
      </c>
      <c r="F440" t="s">
        <v>53</v>
      </c>
      <c r="G440" t="s">
        <v>54</v>
      </c>
      <c r="H440">
        <v>1</v>
      </c>
      <c r="I440" s="7">
        <v>0.25</v>
      </c>
      <c r="J440">
        <v>59.96</v>
      </c>
      <c r="K440" t="str">
        <f>PROPER('Original Data'!K440)</f>
        <v>Apple Pay</v>
      </c>
      <c r="L440" t="s">
        <v>49</v>
      </c>
      <c r="M440" t="str" cm="1">
        <f t="array" ref="M440">_xlfn.IFS(OR('Original Data'!M440=0,'Original Data'!M440="No",'Original Data'!M440=FALSE),"No",OR('Original Data'!M440=1,'Original Data'!M440="Yes",'Original Data'!M440=TRUE),"Yes")</f>
        <v>Yes</v>
      </c>
    </row>
    <row r="441" spans="1:13" x14ac:dyDescent="0.2">
      <c r="A441">
        <v>440</v>
      </c>
      <c r="B441" t="s">
        <v>13</v>
      </c>
      <c r="C441" s="5">
        <v>45614</v>
      </c>
      <c r="D441" t="s">
        <v>14</v>
      </c>
      <c r="E441" t="s">
        <v>15</v>
      </c>
      <c r="F441" t="s">
        <v>53</v>
      </c>
      <c r="G441" t="s">
        <v>54</v>
      </c>
      <c r="H441">
        <v>5</v>
      </c>
      <c r="I441" s="7">
        <v>0</v>
      </c>
      <c r="J441">
        <v>99.95</v>
      </c>
      <c r="K441" t="str">
        <f>PROPER('Original Data'!K441)</f>
        <v>Apple Pay</v>
      </c>
      <c r="L441" t="s">
        <v>23</v>
      </c>
      <c r="M441" t="str" cm="1">
        <f t="array" ref="M441">_xlfn.IFS(OR('Original Data'!M441=0,'Original Data'!M441="No",'Original Data'!M441=FALSE),"No",OR('Original Data'!M441=1,'Original Data'!M441="Yes",'Original Data'!M441=TRUE),"Yes")</f>
        <v>No</v>
      </c>
    </row>
    <row r="442" spans="1:13" x14ac:dyDescent="0.2">
      <c r="A442">
        <v>441</v>
      </c>
      <c r="B442" t="s">
        <v>74</v>
      </c>
      <c r="C442" s="5">
        <v>45019</v>
      </c>
      <c r="D442" t="s">
        <v>75</v>
      </c>
      <c r="E442" t="s">
        <v>76</v>
      </c>
      <c r="F442" t="s">
        <v>44</v>
      </c>
      <c r="H442">
        <v>1</v>
      </c>
      <c r="I442" s="7">
        <v>0.2</v>
      </c>
      <c r="J442">
        <v>35.96</v>
      </c>
      <c r="K442" t="str">
        <f>PROPER('Original Data'!K442)</f>
        <v>Cash</v>
      </c>
      <c r="L442" t="s">
        <v>30</v>
      </c>
      <c r="M442" t="str" cm="1">
        <f t="array" ref="M442">_xlfn.IFS(OR('Original Data'!M442=0,'Original Data'!M442="No",'Original Data'!M442=FALSE),"No",OR('Original Data'!M442=1,'Original Data'!M442="Yes",'Original Data'!M442=TRUE),"Yes")</f>
        <v>No</v>
      </c>
    </row>
    <row r="443" spans="1:13" x14ac:dyDescent="0.2">
      <c r="A443">
        <v>442</v>
      </c>
      <c r="B443" t="s">
        <v>42</v>
      </c>
      <c r="C443" s="5">
        <v>45359</v>
      </c>
      <c r="D443" t="s">
        <v>91</v>
      </c>
      <c r="E443" t="s">
        <v>15</v>
      </c>
      <c r="F443" t="s">
        <v>53</v>
      </c>
      <c r="G443" t="s">
        <v>54</v>
      </c>
      <c r="H443">
        <v>4</v>
      </c>
      <c r="I443" s="7">
        <v>0.25</v>
      </c>
      <c r="J443">
        <v>387</v>
      </c>
      <c r="K443" t="str">
        <f>PROPER('Original Data'!K443)</f>
        <v>Cash</v>
      </c>
      <c r="L443" t="s">
        <v>28</v>
      </c>
      <c r="M443" t="str" cm="1">
        <f t="array" ref="M443">_xlfn.IFS(OR('Original Data'!M443=0,'Original Data'!M443="No",'Original Data'!M443=FALSE),"No",OR('Original Data'!M443=1,'Original Data'!M443="Yes",'Original Data'!M443=TRUE),"Yes")</f>
        <v>Yes</v>
      </c>
    </row>
    <row r="444" spans="1:13" x14ac:dyDescent="0.2">
      <c r="A444">
        <v>443</v>
      </c>
      <c r="B444" t="s">
        <v>58</v>
      </c>
      <c r="C444" s="5">
        <v>45337</v>
      </c>
      <c r="D444" t="s">
        <v>59</v>
      </c>
      <c r="E444" t="s">
        <v>15</v>
      </c>
      <c r="F444" t="s">
        <v>26</v>
      </c>
      <c r="G444" t="s">
        <v>22</v>
      </c>
      <c r="H444">
        <v>2</v>
      </c>
      <c r="I444" s="7">
        <v>0.25</v>
      </c>
      <c r="J444">
        <v>89.93</v>
      </c>
      <c r="K444" t="str">
        <f>PROPER('Original Data'!K444)</f>
        <v>Credit Card</v>
      </c>
      <c r="L444" t="s">
        <v>45</v>
      </c>
      <c r="M444" t="str" cm="1">
        <f t="array" ref="M444">_xlfn.IFS(OR('Original Data'!M444=0,'Original Data'!M444="No",'Original Data'!M444=FALSE),"No",OR('Original Data'!M444=1,'Original Data'!M444="Yes",'Original Data'!M444=TRUE),"Yes")</f>
        <v>Yes</v>
      </c>
    </row>
    <row r="445" spans="1:13" x14ac:dyDescent="0.2">
      <c r="A445">
        <v>444</v>
      </c>
      <c r="B445" t="s">
        <v>88</v>
      </c>
      <c r="C445" s="5">
        <v>45104</v>
      </c>
      <c r="D445" t="s">
        <v>89</v>
      </c>
      <c r="E445" t="s">
        <v>33</v>
      </c>
      <c r="F445" t="s">
        <v>21</v>
      </c>
      <c r="G445" t="s">
        <v>22</v>
      </c>
      <c r="H445">
        <v>4</v>
      </c>
      <c r="I445" s="7">
        <v>0.25</v>
      </c>
      <c r="J445">
        <v>594</v>
      </c>
      <c r="K445" t="str">
        <f>PROPER('Original Data'!K445)</f>
        <v>Cash</v>
      </c>
      <c r="L445" t="s">
        <v>45</v>
      </c>
      <c r="M445" t="str" cm="1">
        <f t="array" ref="M445">_xlfn.IFS(OR('Original Data'!M445=0,'Original Data'!M445="No",'Original Data'!M445=FALSE),"No",OR('Original Data'!M445=1,'Original Data'!M445="Yes",'Original Data'!M445=TRUE),"Yes")</f>
        <v>No</v>
      </c>
    </row>
    <row r="446" spans="1:13" x14ac:dyDescent="0.2">
      <c r="A446">
        <v>445</v>
      </c>
      <c r="B446" t="s">
        <v>13</v>
      </c>
      <c r="C446" s="5">
        <v>45130</v>
      </c>
      <c r="D446" t="s">
        <v>14</v>
      </c>
      <c r="E446" t="s">
        <v>15</v>
      </c>
      <c r="F446" t="s">
        <v>34</v>
      </c>
      <c r="G446" t="s">
        <v>35</v>
      </c>
      <c r="H446">
        <v>1</v>
      </c>
      <c r="I446" s="7">
        <v>0.05</v>
      </c>
      <c r="J446">
        <v>18.989999999999998</v>
      </c>
      <c r="K446" t="str">
        <f>PROPER('Original Data'!K446)</f>
        <v>Gift Card</v>
      </c>
      <c r="L446" t="s">
        <v>55</v>
      </c>
      <c r="M446" t="str" cm="1">
        <f t="array" ref="M446">_xlfn.IFS(OR('Original Data'!M446=0,'Original Data'!M446="No",'Original Data'!M446=FALSE),"No",OR('Original Data'!M446=1,'Original Data'!M446="Yes",'Original Data'!M446=TRUE),"Yes")</f>
        <v>No</v>
      </c>
    </row>
    <row r="447" spans="1:13" x14ac:dyDescent="0.2">
      <c r="A447">
        <v>446</v>
      </c>
      <c r="B447" t="s">
        <v>13</v>
      </c>
      <c r="C447" s="5">
        <v>45433</v>
      </c>
      <c r="D447" t="s">
        <v>14</v>
      </c>
      <c r="E447" t="s">
        <v>15</v>
      </c>
      <c r="F447" t="s">
        <v>16</v>
      </c>
      <c r="G447" t="s">
        <v>17</v>
      </c>
      <c r="H447">
        <v>5</v>
      </c>
      <c r="I447" s="7">
        <v>0.2</v>
      </c>
      <c r="J447">
        <v>79.959999999999994</v>
      </c>
      <c r="K447" t="str">
        <f>PROPER('Original Data'!K447)</f>
        <v>Apple Pay</v>
      </c>
      <c r="L447" t="s">
        <v>41</v>
      </c>
      <c r="M447" t="str" cm="1">
        <f t="array" ref="M447">_xlfn.IFS(OR('Original Data'!M447=0,'Original Data'!M447="No",'Original Data'!M447=FALSE),"No",OR('Original Data'!M447=1,'Original Data'!M447="Yes",'Original Data'!M447=TRUE),"Yes")</f>
        <v>No</v>
      </c>
    </row>
    <row r="448" spans="1:13" x14ac:dyDescent="0.2">
      <c r="A448">
        <v>447</v>
      </c>
      <c r="B448" t="s">
        <v>71</v>
      </c>
      <c r="C448" s="5">
        <v>45111</v>
      </c>
      <c r="D448" t="s">
        <v>72</v>
      </c>
      <c r="E448" t="s">
        <v>33</v>
      </c>
      <c r="F448" t="s">
        <v>34</v>
      </c>
      <c r="G448" t="s">
        <v>35</v>
      </c>
      <c r="H448">
        <v>2</v>
      </c>
      <c r="I448" s="7">
        <v>0.1</v>
      </c>
      <c r="J448">
        <v>107.91</v>
      </c>
      <c r="K448" t="str">
        <f>PROPER('Original Data'!K448)</f>
        <v>Gift Card</v>
      </c>
      <c r="L448" t="s">
        <v>63</v>
      </c>
      <c r="M448" t="str" cm="1">
        <f t="array" ref="M448">_xlfn.IFS(OR('Original Data'!M448=0,'Original Data'!M448="No",'Original Data'!M448=FALSE),"No",OR('Original Data'!M448=1,'Original Data'!M448="Yes",'Original Data'!M448=TRUE),"Yes")</f>
        <v>Yes</v>
      </c>
    </row>
    <row r="449" spans="1:13" x14ac:dyDescent="0.2">
      <c r="A449">
        <v>448</v>
      </c>
      <c r="B449" t="s">
        <v>42</v>
      </c>
      <c r="C449" s="5">
        <v>45636</v>
      </c>
      <c r="D449" t="s">
        <v>91</v>
      </c>
      <c r="E449" t="s">
        <v>15</v>
      </c>
      <c r="F449" t="s">
        <v>44</v>
      </c>
      <c r="H449">
        <v>1</v>
      </c>
      <c r="I449" s="7">
        <v>0.25</v>
      </c>
      <c r="J449">
        <v>96.75</v>
      </c>
      <c r="K449" t="str">
        <f>PROPER('Original Data'!K449)</f>
        <v>Cash</v>
      </c>
      <c r="M449" t="str" cm="1">
        <f t="array" ref="M449">_xlfn.IFS(OR('Original Data'!M449=0,'Original Data'!M449="No",'Original Data'!M449=FALSE),"No",OR('Original Data'!M449=1,'Original Data'!M449="Yes",'Original Data'!M449=TRUE),"Yes")</f>
        <v>Yes</v>
      </c>
    </row>
    <row r="450" spans="1:13" x14ac:dyDescent="0.2">
      <c r="A450">
        <v>449</v>
      </c>
      <c r="B450" t="s">
        <v>83</v>
      </c>
      <c r="C450" s="5">
        <v>45443</v>
      </c>
      <c r="D450" t="str">
        <f>VLOOKUP(B450,'Original Data'!B:D,3,FALSE)</f>
        <v>Graphic Hoodie</v>
      </c>
      <c r="E450" t="str">
        <f>_xlfn.XLOOKUP('Cleaned Data'!B904,'Original Data'!B:B,'Original Data'!E:E)</f>
        <v>GAP</v>
      </c>
      <c r="F450" t="s">
        <v>34</v>
      </c>
      <c r="G450" t="s">
        <v>35</v>
      </c>
      <c r="H450">
        <v>3</v>
      </c>
      <c r="I450" s="7">
        <v>0</v>
      </c>
      <c r="J450">
        <v>149.85</v>
      </c>
      <c r="K450" t="str">
        <f>PROPER('Original Data'!K450)</f>
        <v>Cash</v>
      </c>
      <c r="L450" t="s">
        <v>23</v>
      </c>
      <c r="M450" t="s">
        <v>92</v>
      </c>
    </row>
    <row r="451" spans="1:13" x14ac:dyDescent="0.2">
      <c r="A451">
        <v>450</v>
      </c>
      <c r="B451" t="s">
        <v>88</v>
      </c>
      <c r="C451" s="5">
        <v>45654</v>
      </c>
      <c r="D451" t="s">
        <v>89</v>
      </c>
      <c r="E451" t="s">
        <v>33</v>
      </c>
      <c r="F451" t="s">
        <v>44</v>
      </c>
      <c r="H451">
        <v>4</v>
      </c>
      <c r="I451" s="7">
        <v>0</v>
      </c>
      <c r="J451">
        <v>792</v>
      </c>
      <c r="K451" t="str">
        <f>PROPER('Original Data'!K451)</f>
        <v>Cash</v>
      </c>
      <c r="L451" t="s">
        <v>55</v>
      </c>
      <c r="M451" t="str" cm="1">
        <f t="array" ref="M451">_xlfn.IFS(OR('Original Data'!M451=0,'Original Data'!M451="No",'Original Data'!M451=FALSE),"No",OR('Original Data'!M451=1,'Original Data'!M451="Yes",'Original Data'!M451=TRUE),"Yes")</f>
        <v>No</v>
      </c>
    </row>
    <row r="452" spans="1:13" x14ac:dyDescent="0.2">
      <c r="A452">
        <v>451</v>
      </c>
      <c r="B452" t="s">
        <v>50</v>
      </c>
      <c r="C452" s="5">
        <v>45095</v>
      </c>
      <c r="D452" t="s">
        <v>51</v>
      </c>
      <c r="E452" t="s">
        <v>15</v>
      </c>
      <c r="F452" t="s">
        <v>21</v>
      </c>
      <c r="G452" t="s">
        <v>22</v>
      </c>
      <c r="H452">
        <v>3</v>
      </c>
      <c r="I452" s="7">
        <v>0.1</v>
      </c>
      <c r="J452">
        <v>188.87</v>
      </c>
      <c r="K452" t="str">
        <f>PROPER('Original Data'!K452)</f>
        <v>Gift Card</v>
      </c>
      <c r="L452" t="s">
        <v>49</v>
      </c>
      <c r="M452" t="str" cm="1">
        <f t="array" ref="M452">_xlfn.IFS(OR('Original Data'!M452=0,'Original Data'!M452="No",'Original Data'!M452=FALSE),"No",OR('Original Data'!M452=1,'Original Data'!M452="Yes",'Original Data'!M452=TRUE),"Yes")</f>
        <v>No</v>
      </c>
    </row>
    <row r="453" spans="1:13" x14ac:dyDescent="0.2">
      <c r="A453">
        <v>452</v>
      </c>
      <c r="B453" t="s">
        <v>19</v>
      </c>
      <c r="C453" s="5">
        <v>45094</v>
      </c>
      <c r="D453" t="s">
        <v>20</v>
      </c>
      <c r="E453" t="s">
        <v>15</v>
      </c>
      <c r="F453" t="s">
        <v>26</v>
      </c>
      <c r="G453" t="s">
        <v>22</v>
      </c>
      <c r="H453">
        <v>2</v>
      </c>
      <c r="I453" s="7">
        <v>0</v>
      </c>
      <c r="J453">
        <v>179.9</v>
      </c>
      <c r="K453" t="str">
        <f>PROPER('Original Data'!K453)</f>
        <v>Cash</v>
      </c>
      <c r="L453" t="s">
        <v>41</v>
      </c>
      <c r="M453" t="str" cm="1">
        <f t="array" ref="M453">_xlfn.IFS(OR('Original Data'!M453=0,'Original Data'!M453="No",'Original Data'!M453=FALSE),"No",OR('Original Data'!M453=1,'Original Data'!M453="Yes",'Original Data'!M453=TRUE),"Yes")</f>
        <v>Yes</v>
      </c>
    </row>
    <row r="454" spans="1:13" x14ac:dyDescent="0.2">
      <c r="A454">
        <v>453</v>
      </c>
      <c r="B454" t="s">
        <v>83</v>
      </c>
      <c r="C454" s="5">
        <v>45022</v>
      </c>
      <c r="D454" t="s">
        <v>84</v>
      </c>
      <c r="E454" t="s">
        <v>48</v>
      </c>
      <c r="F454" t="s">
        <v>44</v>
      </c>
      <c r="H454">
        <v>1</v>
      </c>
      <c r="I454" s="7">
        <v>0</v>
      </c>
      <c r="J454">
        <v>49.95</v>
      </c>
      <c r="K454" t="str">
        <f>PROPER('Original Data'!K454)</f>
        <v>Cash</v>
      </c>
      <c r="L454" t="s">
        <v>55</v>
      </c>
      <c r="M454" t="str" cm="1">
        <f t="array" ref="M454">_xlfn.IFS(OR('Original Data'!M454=0,'Original Data'!M454="No",'Original Data'!M454=FALSE),"No",OR('Original Data'!M454=1,'Original Data'!M454="Yes",'Original Data'!M454=TRUE),"Yes")</f>
        <v>No</v>
      </c>
    </row>
    <row r="455" spans="1:13" x14ac:dyDescent="0.2">
      <c r="A455">
        <v>454</v>
      </c>
      <c r="B455" t="s">
        <v>78</v>
      </c>
      <c r="C455" s="5">
        <v>45179</v>
      </c>
      <c r="D455" t="s">
        <v>79</v>
      </c>
      <c r="E455" t="s">
        <v>48</v>
      </c>
      <c r="F455" t="s">
        <v>26</v>
      </c>
      <c r="G455" t="s">
        <v>22</v>
      </c>
      <c r="H455">
        <v>5</v>
      </c>
      <c r="I455" s="7">
        <v>0</v>
      </c>
      <c r="J455">
        <v>199.75</v>
      </c>
      <c r="K455" t="str">
        <f>PROPER('Original Data'!K455)</f>
        <v>Credit Card</v>
      </c>
      <c r="L455" t="s">
        <v>28</v>
      </c>
      <c r="M455" t="str" cm="1">
        <f t="array" ref="M455">_xlfn.IFS(OR('Original Data'!M455=0,'Original Data'!M455="No",'Original Data'!M455=FALSE),"No",OR('Original Data'!M455=1,'Original Data'!M455="Yes",'Original Data'!M455=TRUE),"Yes")</f>
        <v>Yes</v>
      </c>
    </row>
    <row r="456" spans="1:13" x14ac:dyDescent="0.2">
      <c r="A456">
        <v>455</v>
      </c>
      <c r="B456" t="s">
        <v>61</v>
      </c>
      <c r="C456" s="5">
        <v>45602</v>
      </c>
      <c r="D456" t="s">
        <v>62</v>
      </c>
      <c r="E456" t="s">
        <v>33</v>
      </c>
      <c r="F456" t="s">
        <v>40</v>
      </c>
      <c r="G456" t="s">
        <v>17</v>
      </c>
      <c r="H456">
        <v>1</v>
      </c>
      <c r="I456" s="7">
        <v>0</v>
      </c>
      <c r="J456">
        <v>34.99</v>
      </c>
      <c r="K456" t="str">
        <f>PROPER('Original Data'!K456)</f>
        <v>Apple Pay</v>
      </c>
      <c r="L456" t="s">
        <v>41</v>
      </c>
      <c r="M456" t="str" cm="1">
        <f t="array" ref="M456">_xlfn.IFS(OR('Original Data'!M456=0,'Original Data'!M456="No",'Original Data'!M456=FALSE),"No",OR('Original Data'!M456=1,'Original Data'!M456="Yes",'Original Data'!M456=TRUE),"Yes")</f>
        <v>No</v>
      </c>
    </row>
    <row r="457" spans="1:13" x14ac:dyDescent="0.2">
      <c r="A457">
        <v>456</v>
      </c>
      <c r="B457" t="s">
        <v>37</v>
      </c>
      <c r="C457" s="5">
        <v>44999</v>
      </c>
      <c r="D457" t="s">
        <v>38</v>
      </c>
      <c r="E457" t="s">
        <v>39</v>
      </c>
      <c r="F457" t="s">
        <v>66</v>
      </c>
      <c r="G457" t="s">
        <v>67</v>
      </c>
      <c r="H457">
        <v>1</v>
      </c>
      <c r="I457" s="7">
        <v>0.1</v>
      </c>
      <c r="J457">
        <v>58.46</v>
      </c>
      <c r="K457" t="str">
        <f>PROPER('Original Data'!K457)</f>
        <v>Credit Card</v>
      </c>
      <c r="L457" t="s">
        <v>49</v>
      </c>
      <c r="M457" t="str" cm="1">
        <f t="array" ref="M457">_xlfn.IFS(OR('Original Data'!M457=0,'Original Data'!M457="No",'Original Data'!M457=FALSE),"No",OR('Original Data'!M457=1,'Original Data'!M457="Yes",'Original Data'!M457=TRUE),"Yes")</f>
        <v>Yes</v>
      </c>
    </row>
    <row r="458" spans="1:13" x14ac:dyDescent="0.2">
      <c r="A458">
        <v>457</v>
      </c>
      <c r="B458" t="s">
        <v>74</v>
      </c>
      <c r="C458" s="5">
        <v>45232</v>
      </c>
      <c r="D458" t="s">
        <v>75</v>
      </c>
      <c r="E458" t="s">
        <v>76</v>
      </c>
      <c r="F458" t="s">
        <v>66</v>
      </c>
      <c r="G458" t="s">
        <v>67</v>
      </c>
      <c r="H458">
        <v>4</v>
      </c>
      <c r="I458" s="7">
        <v>0.1</v>
      </c>
      <c r="J458">
        <v>161.82</v>
      </c>
      <c r="K458" t="str">
        <f>PROPER('Original Data'!K458)</f>
        <v>Credit Card</v>
      </c>
      <c r="L458" t="s">
        <v>45</v>
      </c>
      <c r="M458" t="str" cm="1">
        <f t="array" ref="M458">_xlfn.IFS(OR('Original Data'!M458=0,'Original Data'!M458="No",'Original Data'!M458=FALSE),"No",OR('Original Data'!M458=1,'Original Data'!M458="Yes",'Original Data'!M458=TRUE),"Yes")</f>
        <v>No</v>
      </c>
    </row>
    <row r="459" spans="1:13" x14ac:dyDescent="0.2">
      <c r="A459">
        <v>458</v>
      </c>
      <c r="B459" t="s">
        <v>83</v>
      </c>
      <c r="C459" s="5">
        <v>45503</v>
      </c>
      <c r="D459" t="s">
        <v>84</v>
      </c>
      <c r="E459" t="s">
        <v>48</v>
      </c>
      <c r="F459" t="s">
        <v>34</v>
      </c>
      <c r="G459" t="s">
        <v>35</v>
      </c>
      <c r="H459">
        <v>4</v>
      </c>
      <c r="I459" s="7">
        <v>0.2</v>
      </c>
      <c r="J459">
        <v>159.84</v>
      </c>
      <c r="K459" t="str">
        <f>PROPER('Original Data'!K459)</f>
        <v>Cash</v>
      </c>
      <c r="M459" t="str" cm="1">
        <f t="array" ref="M459">_xlfn.IFS(OR('Original Data'!M459=0,'Original Data'!M459="No",'Original Data'!M459=FALSE),"No",OR('Original Data'!M459=1,'Original Data'!M459="Yes",'Original Data'!M459=TRUE),"Yes")</f>
        <v>No</v>
      </c>
    </row>
    <row r="460" spans="1:13" x14ac:dyDescent="0.2">
      <c r="A460">
        <v>459</v>
      </c>
      <c r="B460" t="s">
        <v>19</v>
      </c>
      <c r="C460" s="5">
        <v>45406</v>
      </c>
      <c r="D460" t="s">
        <v>20</v>
      </c>
      <c r="E460" t="s">
        <v>15</v>
      </c>
      <c r="F460" t="s">
        <v>44</v>
      </c>
      <c r="H460">
        <v>2</v>
      </c>
      <c r="I460" s="7">
        <v>0.25</v>
      </c>
      <c r="J460">
        <v>134.93</v>
      </c>
      <c r="K460" t="str">
        <f>PROPER('Original Data'!K460)</f>
        <v>Cash</v>
      </c>
      <c r="L460" t="s">
        <v>55</v>
      </c>
      <c r="M460" t="str" cm="1">
        <f t="array" ref="M460">_xlfn.IFS(OR('Original Data'!M460=0,'Original Data'!M460="No",'Original Data'!M460=FALSE),"No",OR('Original Data'!M460=1,'Original Data'!M460="Yes",'Original Data'!M460=TRUE),"Yes")</f>
        <v>Yes</v>
      </c>
    </row>
    <row r="461" spans="1:13" x14ac:dyDescent="0.2">
      <c r="A461">
        <v>460</v>
      </c>
      <c r="B461" t="s">
        <v>56</v>
      </c>
      <c r="C461" s="5">
        <v>45362</v>
      </c>
      <c r="D461" t="s">
        <v>57</v>
      </c>
      <c r="E461" t="s">
        <v>48</v>
      </c>
      <c r="F461" t="s">
        <v>26</v>
      </c>
      <c r="G461" t="s">
        <v>22</v>
      </c>
      <c r="H461">
        <v>1</v>
      </c>
      <c r="I461" s="7">
        <v>0</v>
      </c>
      <c r="J461">
        <v>85</v>
      </c>
      <c r="K461" t="s">
        <v>90</v>
      </c>
      <c r="L461" t="s">
        <v>55</v>
      </c>
      <c r="M461" t="str" cm="1">
        <f t="array" ref="M461">_xlfn.IFS(OR('Original Data'!M461=0,'Original Data'!M461="No",'Original Data'!M461=FALSE),"No",OR('Original Data'!M461=1,'Original Data'!M461="Yes",'Original Data'!M461=TRUE),"Yes")</f>
        <v>Yes</v>
      </c>
    </row>
    <row r="462" spans="1:13" x14ac:dyDescent="0.2">
      <c r="A462">
        <v>461</v>
      </c>
      <c r="B462" t="s">
        <v>31</v>
      </c>
      <c r="C462" s="5">
        <v>45353</v>
      </c>
      <c r="D462" t="s">
        <v>32</v>
      </c>
      <c r="E462" t="s">
        <v>33</v>
      </c>
      <c r="F462" t="s">
        <v>44</v>
      </c>
      <c r="H462">
        <v>2</v>
      </c>
      <c r="I462" s="7">
        <v>0.2</v>
      </c>
      <c r="J462">
        <v>127.92</v>
      </c>
      <c r="K462" t="str">
        <f>PROPER('Original Data'!K462)</f>
        <v>Credit Card</v>
      </c>
      <c r="L462" t="s">
        <v>23</v>
      </c>
      <c r="M462" t="str" cm="1">
        <f t="array" ref="M462">_xlfn.IFS(OR('Original Data'!M462=0,'Original Data'!M462="No",'Original Data'!M462=FALSE),"No",OR('Original Data'!M462=1,'Original Data'!M462="Yes",'Original Data'!M462=TRUE),"Yes")</f>
        <v>No</v>
      </c>
    </row>
    <row r="463" spans="1:13" x14ac:dyDescent="0.2">
      <c r="A463">
        <v>462</v>
      </c>
      <c r="B463" t="s">
        <v>37</v>
      </c>
      <c r="C463" s="5">
        <v>45035</v>
      </c>
      <c r="D463" t="s">
        <v>38</v>
      </c>
      <c r="E463" t="s">
        <v>39</v>
      </c>
      <c r="F463" t="s">
        <v>66</v>
      </c>
      <c r="G463" t="s">
        <v>67</v>
      </c>
      <c r="H463">
        <v>2</v>
      </c>
      <c r="I463" s="7">
        <v>0</v>
      </c>
      <c r="J463">
        <v>129.9</v>
      </c>
      <c r="K463" t="str">
        <f>PROPER('Original Data'!K463)</f>
        <v>Apple Pay</v>
      </c>
      <c r="L463" t="s">
        <v>30</v>
      </c>
      <c r="M463" t="str" cm="1">
        <f t="array" ref="M463">_xlfn.IFS(OR('Original Data'!M463=0,'Original Data'!M463="No",'Original Data'!M463=FALSE),"No",OR('Original Data'!M463=1,'Original Data'!M463="Yes",'Original Data'!M463=TRUE),"Yes")</f>
        <v>Yes</v>
      </c>
    </row>
    <row r="464" spans="1:13" x14ac:dyDescent="0.2">
      <c r="A464">
        <v>463</v>
      </c>
      <c r="B464" t="s">
        <v>50</v>
      </c>
      <c r="C464" s="5">
        <v>45016</v>
      </c>
      <c r="D464" t="str">
        <f>VLOOKUP(B464,'Original Data'!B:D,3,FALSE)</f>
        <v>High-Rise Jeans</v>
      </c>
      <c r="E464" t="str">
        <f>_xlfn.XLOOKUP('Cleaned Data'!B552,'Original Data'!B:B,'Original Data'!E:E)</f>
        <v>Banana Republic</v>
      </c>
      <c r="F464" t="s">
        <v>44</v>
      </c>
      <c r="H464">
        <v>5</v>
      </c>
      <c r="I464" s="7">
        <v>0.15</v>
      </c>
      <c r="J464">
        <v>297.29000000000002</v>
      </c>
      <c r="K464" t="str">
        <f>PROPER('Original Data'!K464)</f>
        <v>Cash</v>
      </c>
      <c r="L464" t="s">
        <v>28</v>
      </c>
      <c r="M464" t="s">
        <v>92</v>
      </c>
    </row>
    <row r="465" spans="1:13" x14ac:dyDescent="0.2">
      <c r="A465">
        <v>464</v>
      </c>
      <c r="B465" t="s">
        <v>85</v>
      </c>
      <c r="C465" s="5">
        <v>45401</v>
      </c>
      <c r="D465" t="s">
        <v>86</v>
      </c>
      <c r="E465" t="s">
        <v>76</v>
      </c>
      <c r="F465" t="s">
        <v>34</v>
      </c>
      <c r="G465" t="s">
        <v>35</v>
      </c>
      <c r="H465">
        <v>5</v>
      </c>
      <c r="I465" s="7">
        <v>0.05</v>
      </c>
      <c r="J465">
        <v>427.26</v>
      </c>
      <c r="K465" t="str">
        <f>PROPER('Original Data'!K465)</f>
        <v>Cash</v>
      </c>
      <c r="L465" t="s">
        <v>55</v>
      </c>
      <c r="M465" t="str" cm="1">
        <f t="array" ref="M465">_xlfn.IFS(OR('Original Data'!M465=0,'Original Data'!M465="No",'Original Data'!M465=FALSE),"No",OR('Original Data'!M465=1,'Original Data'!M465="Yes",'Original Data'!M465=TRUE),"Yes")</f>
        <v>Yes</v>
      </c>
    </row>
    <row r="466" spans="1:13" x14ac:dyDescent="0.2">
      <c r="A466">
        <v>465</v>
      </c>
      <c r="B466" t="s">
        <v>81</v>
      </c>
      <c r="C466" s="5">
        <v>45328</v>
      </c>
      <c r="D466" t="s">
        <v>82</v>
      </c>
      <c r="E466" t="s">
        <v>15</v>
      </c>
      <c r="F466" t="s">
        <v>44</v>
      </c>
      <c r="H466">
        <v>2</v>
      </c>
      <c r="I466" s="7">
        <v>0.05</v>
      </c>
      <c r="J466">
        <v>151.9</v>
      </c>
      <c r="K466" t="s">
        <v>90</v>
      </c>
      <c r="L466" t="s">
        <v>30</v>
      </c>
      <c r="M466" t="str" cm="1">
        <f t="array" ref="M466">_xlfn.IFS(OR('Original Data'!M466=0,'Original Data'!M466="No",'Original Data'!M466=FALSE),"No",OR('Original Data'!M466=1,'Original Data'!M466="Yes",'Original Data'!M466=TRUE),"Yes")</f>
        <v>Yes</v>
      </c>
    </row>
    <row r="467" spans="1:13" x14ac:dyDescent="0.2">
      <c r="A467">
        <v>466</v>
      </c>
      <c r="B467" t="s">
        <v>58</v>
      </c>
      <c r="C467" s="5">
        <v>45532</v>
      </c>
      <c r="D467" t="s">
        <v>59</v>
      </c>
      <c r="E467" t="s">
        <v>15</v>
      </c>
      <c r="F467" t="s">
        <v>53</v>
      </c>
      <c r="G467" t="s">
        <v>54</v>
      </c>
      <c r="H467">
        <v>4</v>
      </c>
      <c r="I467" s="7">
        <v>0.2</v>
      </c>
      <c r="J467">
        <v>191.84</v>
      </c>
      <c r="K467" t="s">
        <v>90</v>
      </c>
      <c r="L467" t="s">
        <v>41</v>
      </c>
      <c r="M467" t="str" cm="1">
        <f t="array" ref="M467">_xlfn.IFS(OR('Original Data'!M467=0,'Original Data'!M467="No",'Original Data'!M467=FALSE),"No",OR('Original Data'!M467=1,'Original Data'!M467="Yes",'Original Data'!M467=TRUE),"Yes")</f>
        <v>Yes</v>
      </c>
    </row>
    <row r="468" spans="1:13" x14ac:dyDescent="0.2">
      <c r="A468">
        <v>467</v>
      </c>
      <c r="B468" t="s">
        <v>64</v>
      </c>
      <c r="C468" s="5">
        <v>45564</v>
      </c>
      <c r="D468" t="s">
        <v>65</v>
      </c>
      <c r="E468" t="s">
        <v>33</v>
      </c>
      <c r="F468" t="s">
        <v>16</v>
      </c>
      <c r="G468" t="s">
        <v>17</v>
      </c>
      <c r="H468">
        <v>4</v>
      </c>
      <c r="I468" s="7">
        <v>0.25</v>
      </c>
      <c r="J468">
        <v>224.85</v>
      </c>
      <c r="K468" t="str">
        <f>PROPER('Original Data'!K468)</f>
        <v>Gift Card</v>
      </c>
      <c r="L468" t="s">
        <v>55</v>
      </c>
      <c r="M468" t="str" cm="1">
        <f t="array" ref="M468">_xlfn.IFS(OR('Original Data'!M468=0,'Original Data'!M468="No",'Original Data'!M468=FALSE),"No",OR('Original Data'!M468=1,'Original Data'!M468="Yes",'Original Data'!M468=TRUE),"Yes")</f>
        <v>No</v>
      </c>
    </row>
    <row r="469" spans="1:13" x14ac:dyDescent="0.2">
      <c r="A469">
        <v>468</v>
      </c>
      <c r="B469" t="s">
        <v>71</v>
      </c>
      <c r="C469" s="5">
        <v>45655</v>
      </c>
      <c r="D469" t="s">
        <v>72</v>
      </c>
      <c r="E469" t="s">
        <v>33</v>
      </c>
      <c r="F469" t="s">
        <v>40</v>
      </c>
      <c r="G469" t="s">
        <v>17</v>
      </c>
      <c r="H469">
        <v>4</v>
      </c>
      <c r="I469" s="7">
        <v>0</v>
      </c>
      <c r="J469">
        <v>239.8</v>
      </c>
      <c r="K469" t="str">
        <f>PROPER('Original Data'!K469)</f>
        <v>Apple Pay</v>
      </c>
      <c r="L469" t="s">
        <v>30</v>
      </c>
      <c r="M469" t="str" cm="1">
        <f t="array" ref="M469">_xlfn.IFS(OR('Original Data'!M469=0,'Original Data'!M469="No",'Original Data'!M469=FALSE),"No",OR('Original Data'!M469=1,'Original Data'!M469="Yes",'Original Data'!M469=TRUE),"Yes")</f>
        <v>Yes</v>
      </c>
    </row>
    <row r="470" spans="1:13" x14ac:dyDescent="0.2">
      <c r="A470">
        <v>469</v>
      </c>
      <c r="B470" t="s">
        <v>42</v>
      </c>
      <c r="C470" s="5">
        <v>45087</v>
      </c>
      <c r="D470" t="s">
        <v>91</v>
      </c>
      <c r="E470" t="s">
        <v>15</v>
      </c>
      <c r="F470" t="s">
        <v>53</v>
      </c>
      <c r="G470" t="s">
        <v>54</v>
      </c>
      <c r="H470">
        <v>4</v>
      </c>
      <c r="I470" s="7">
        <v>0</v>
      </c>
      <c r="J470">
        <v>516</v>
      </c>
      <c r="K470" t="str">
        <f>PROPER('Original Data'!K470)</f>
        <v>Debit Card</v>
      </c>
      <c r="L470" t="s">
        <v>45</v>
      </c>
      <c r="M470" t="str" cm="1">
        <f t="array" ref="M470">_xlfn.IFS(OR('Original Data'!M470=0,'Original Data'!M470="No",'Original Data'!M470=FALSE),"No",OR('Original Data'!M470=1,'Original Data'!M470="Yes",'Original Data'!M470=TRUE),"Yes")</f>
        <v>Yes</v>
      </c>
    </row>
    <row r="471" spans="1:13" x14ac:dyDescent="0.2">
      <c r="A471">
        <v>470</v>
      </c>
      <c r="B471" t="s">
        <v>68</v>
      </c>
      <c r="C471" s="5">
        <v>45272</v>
      </c>
      <c r="D471" t="s">
        <v>69</v>
      </c>
      <c r="E471" t="s">
        <v>33</v>
      </c>
      <c r="F471" t="s">
        <v>53</v>
      </c>
      <c r="G471" t="s">
        <v>54</v>
      </c>
      <c r="H471">
        <v>2</v>
      </c>
      <c r="I471" s="7">
        <v>0</v>
      </c>
      <c r="J471">
        <v>238</v>
      </c>
      <c r="K471" t="str">
        <f>PROPER('Original Data'!K471)</f>
        <v>Credit Card</v>
      </c>
      <c r="L471" t="s">
        <v>23</v>
      </c>
      <c r="M471" t="str" cm="1">
        <f t="array" ref="M471">_xlfn.IFS(OR('Original Data'!M471=0,'Original Data'!M471="No",'Original Data'!M471=FALSE),"No",OR('Original Data'!M471=1,'Original Data'!M471="Yes",'Original Data'!M471=TRUE),"Yes")</f>
        <v>No</v>
      </c>
    </row>
    <row r="472" spans="1:13" x14ac:dyDescent="0.2">
      <c r="A472">
        <v>471</v>
      </c>
      <c r="B472" t="s">
        <v>61</v>
      </c>
      <c r="C472" s="5">
        <v>45395</v>
      </c>
      <c r="D472" t="s">
        <v>62</v>
      </c>
      <c r="E472" t="s">
        <v>33</v>
      </c>
      <c r="F472" t="s">
        <v>53</v>
      </c>
      <c r="G472" t="s">
        <v>54</v>
      </c>
      <c r="H472">
        <v>5</v>
      </c>
      <c r="I472" s="7">
        <v>0</v>
      </c>
      <c r="J472">
        <v>174.95</v>
      </c>
      <c r="K472" t="str">
        <f>PROPER('Original Data'!K472)</f>
        <v>Gift Card</v>
      </c>
      <c r="L472" t="s">
        <v>23</v>
      </c>
      <c r="M472" t="str" cm="1">
        <f t="array" ref="M472">_xlfn.IFS(OR('Original Data'!M472=0,'Original Data'!M472="No",'Original Data'!M472=FALSE),"No",OR('Original Data'!M472=1,'Original Data'!M472="Yes",'Original Data'!M472=TRUE),"Yes")</f>
        <v>No</v>
      </c>
    </row>
    <row r="473" spans="1:13" x14ac:dyDescent="0.2">
      <c r="A473">
        <v>472</v>
      </c>
      <c r="B473" t="s">
        <v>37</v>
      </c>
      <c r="C473" s="5">
        <v>45379</v>
      </c>
      <c r="D473" t="s">
        <v>38</v>
      </c>
      <c r="E473" t="s">
        <v>39</v>
      </c>
      <c r="F473" t="s">
        <v>16</v>
      </c>
      <c r="G473" t="s">
        <v>17</v>
      </c>
      <c r="H473">
        <v>3</v>
      </c>
      <c r="I473" s="7">
        <v>0</v>
      </c>
      <c r="J473">
        <v>194.85</v>
      </c>
      <c r="K473" t="str">
        <f>PROPER('Original Data'!K473)</f>
        <v>Apple Pay</v>
      </c>
      <c r="L473" t="s">
        <v>30</v>
      </c>
      <c r="M473" t="str" cm="1">
        <f t="array" ref="M473">_xlfn.IFS(OR('Original Data'!M473=0,'Original Data'!M473="No",'Original Data'!M473=FALSE),"No",OR('Original Data'!M473=1,'Original Data'!M473="Yes",'Original Data'!M473=TRUE),"Yes")</f>
        <v>Yes</v>
      </c>
    </row>
    <row r="474" spans="1:13" x14ac:dyDescent="0.2">
      <c r="A474">
        <v>473</v>
      </c>
      <c r="B474" t="s">
        <v>19</v>
      </c>
      <c r="C474" s="5">
        <v>45102</v>
      </c>
      <c r="D474" t="s">
        <v>20</v>
      </c>
      <c r="E474" t="s">
        <v>15</v>
      </c>
      <c r="F474" t="s">
        <v>26</v>
      </c>
      <c r="G474" t="s">
        <v>22</v>
      </c>
      <c r="H474">
        <v>4</v>
      </c>
      <c r="I474" s="7">
        <v>0.15</v>
      </c>
      <c r="J474">
        <v>305.83</v>
      </c>
      <c r="K474" t="s">
        <v>90</v>
      </c>
      <c r="L474" t="s">
        <v>30</v>
      </c>
      <c r="M474" t="str" cm="1">
        <f t="array" ref="M474">_xlfn.IFS(OR('Original Data'!M474=0,'Original Data'!M474="No",'Original Data'!M474=FALSE),"No",OR('Original Data'!M474=1,'Original Data'!M474="Yes",'Original Data'!M474=TRUE),"Yes")</f>
        <v>Yes</v>
      </c>
    </row>
    <row r="475" spans="1:13" x14ac:dyDescent="0.2">
      <c r="A475">
        <v>474</v>
      </c>
      <c r="B475" t="s">
        <v>85</v>
      </c>
      <c r="C475" s="5">
        <v>45625</v>
      </c>
      <c r="D475" t="str">
        <f>VLOOKUP(B475,'Original Data'!B:D,3,FALSE)</f>
        <v xml:space="preserve">Wrap Dress  </v>
      </c>
      <c r="E475" t="str">
        <f>_xlfn.XLOOKUP('Cleaned Data'!B789,'Original Data'!B:B,'Original Data'!E:E)</f>
        <v>GAP</v>
      </c>
      <c r="F475" t="s">
        <v>66</v>
      </c>
      <c r="G475" t="s">
        <v>67</v>
      </c>
      <c r="H475">
        <v>4</v>
      </c>
      <c r="I475" s="7">
        <v>0.2</v>
      </c>
      <c r="J475">
        <v>287.83999999999997</v>
      </c>
      <c r="K475" t="s">
        <v>90</v>
      </c>
      <c r="L475" t="s">
        <v>41</v>
      </c>
      <c r="M475" t="s">
        <v>92</v>
      </c>
    </row>
    <row r="476" spans="1:13" x14ac:dyDescent="0.2">
      <c r="A476">
        <v>475</v>
      </c>
      <c r="B476" t="s">
        <v>85</v>
      </c>
      <c r="C476" s="5">
        <v>45583</v>
      </c>
      <c r="D476" t="s">
        <v>86</v>
      </c>
      <c r="E476" t="s">
        <v>76</v>
      </c>
      <c r="F476" t="s">
        <v>66</v>
      </c>
      <c r="G476" t="s">
        <v>67</v>
      </c>
      <c r="H476">
        <v>1</v>
      </c>
      <c r="I476" s="7">
        <v>0.2</v>
      </c>
      <c r="J476">
        <v>71.959999999999994</v>
      </c>
      <c r="K476" t="str">
        <f>PROPER('Original Data'!K476)</f>
        <v>Apple Pay</v>
      </c>
      <c r="L476" t="s">
        <v>23</v>
      </c>
      <c r="M476" t="str" cm="1">
        <f t="array" ref="M476">_xlfn.IFS(OR('Original Data'!M476=0,'Original Data'!M476="No",'Original Data'!M476=FALSE),"No",OR('Original Data'!M476=1,'Original Data'!M476="Yes",'Original Data'!M476=TRUE),"Yes")</f>
        <v>Yes</v>
      </c>
    </row>
    <row r="477" spans="1:13" x14ac:dyDescent="0.2">
      <c r="A477">
        <v>476</v>
      </c>
      <c r="B477" t="s">
        <v>56</v>
      </c>
      <c r="C477" s="5">
        <v>45213</v>
      </c>
      <c r="D477" t="s">
        <v>57</v>
      </c>
      <c r="E477" t="s">
        <v>48</v>
      </c>
      <c r="F477" t="s">
        <v>21</v>
      </c>
      <c r="G477" t="s">
        <v>22</v>
      </c>
      <c r="H477">
        <v>3</v>
      </c>
      <c r="I477" s="7">
        <v>0.15</v>
      </c>
      <c r="J477">
        <v>216.75</v>
      </c>
      <c r="K477" t="str">
        <f>PROPER('Original Data'!K477)</f>
        <v>Credit Card</v>
      </c>
      <c r="L477" t="s">
        <v>49</v>
      </c>
      <c r="M477" t="str" cm="1">
        <f t="array" ref="M477">_xlfn.IFS(OR('Original Data'!M477=0,'Original Data'!M477="No",'Original Data'!M477=FALSE),"No",OR('Original Data'!M477=1,'Original Data'!M477="Yes",'Original Data'!M477=TRUE),"Yes")</f>
        <v>Yes</v>
      </c>
    </row>
    <row r="478" spans="1:13" x14ac:dyDescent="0.2">
      <c r="A478">
        <v>477</v>
      </c>
      <c r="B478" t="s">
        <v>68</v>
      </c>
      <c r="C478" s="5">
        <v>44964</v>
      </c>
      <c r="D478" t="s">
        <v>69</v>
      </c>
      <c r="E478" t="s">
        <v>33</v>
      </c>
      <c r="F478" t="s">
        <v>44</v>
      </c>
      <c r="H478">
        <v>4</v>
      </c>
      <c r="I478" s="7">
        <v>0.05</v>
      </c>
      <c r="J478">
        <v>452.2</v>
      </c>
      <c r="K478" t="str">
        <f>PROPER('Original Data'!K478)</f>
        <v>Credit Card</v>
      </c>
      <c r="L478" t="s">
        <v>30</v>
      </c>
      <c r="M478" t="str" cm="1">
        <f t="array" ref="M478">_xlfn.IFS(OR('Original Data'!M478=0,'Original Data'!M478="No",'Original Data'!M478=FALSE),"No",OR('Original Data'!M478=1,'Original Data'!M478="Yes",'Original Data'!M478=TRUE),"Yes")</f>
        <v>No</v>
      </c>
    </row>
    <row r="479" spans="1:13" x14ac:dyDescent="0.2">
      <c r="A479">
        <v>478</v>
      </c>
      <c r="B479" t="s">
        <v>31</v>
      </c>
      <c r="C479" s="5">
        <v>45238</v>
      </c>
      <c r="D479" t="s">
        <v>32</v>
      </c>
      <c r="E479" t="s">
        <v>33</v>
      </c>
      <c r="F479" t="s">
        <v>40</v>
      </c>
      <c r="G479" t="s">
        <v>17</v>
      </c>
      <c r="H479">
        <v>1</v>
      </c>
      <c r="I479" s="7">
        <v>0</v>
      </c>
      <c r="J479">
        <v>79.95</v>
      </c>
      <c r="K479" t="str">
        <f>PROPER('Original Data'!K479)</f>
        <v>Debit Card</v>
      </c>
      <c r="L479" t="s">
        <v>30</v>
      </c>
      <c r="M479" t="str" cm="1">
        <f t="array" ref="M479">_xlfn.IFS(OR('Original Data'!M479=0,'Original Data'!M479="No",'Original Data'!M479=FALSE),"No",OR('Original Data'!M479=1,'Original Data'!M479="Yes",'Original Data'!M479=TRUE),"Yes")</f>
        <v>No</v>
      </c>
    </row>
    <row r="480" spans="1:13" x14ac:dyDescent="0.2">
      <c r="A480">
        <v>479</v>
      </c>
      <c r="B480" t="s">
        <v>24</v>
      </c>
      <c r="C480" s="5">
        <v>45168</v>
      </c>
      <c r="D480" t="s">
        <v>87</v>
      </c>
      <c r="E480" t="s">
        <v>39</v>
      </c>
      <c r="F480" t="s">
        <v>16</v>
      </c>
      <c r="G480" t="s">
        <v>17</v>
      </c>
      <c r="H480">
        <v>3</v>
      </c>
      <c r="I480" s="7">
        <v>0</v>
      </c>
      <c r="J480">
        <v>134.85</v>
      </c>
      <c r="K480" t="str">
        <f>PROPER('Original Data'!K480)</f>
        <v>Cash</v>
      </c>
      <c r="L480" t="s">
        <v>41</v>
      </c>
      <c r="M480" t="str" cm="1">
        <f t="array" ref="M480">_xlfn.IFS(OR('Original Data'!M480=0,'Original Data'!M480="No",'Original Data'!M480=FALSE),"No",OR('Original Data'!M480=1,'Original Data'!M480="Yes",'Original Data'!M480=TRUE),"Yes")</f>
        <v>Yes</v>
      </c>
    </row>
    <row r="481" spans="1:13" x14ac:dyDescent="0.2">
      <c r="A481">
        <v>480</v>
      </c>
      <c r="B481" t="s">
        <v>74</v>
      </c>
      <c r="C481" s="5">
        <v>45455</v>
      </c>
      <c r="D481" t="s">
        <v>75</v>
      </c>
      <c r="E481" t="s">
        <v>76</v>
      </c>
      <c r="F481" t="s">
        <v>66</v>
      </c>
      <c r="G481" t="s">
        <v>67</v>
      </c>
      <c r="H481">
        <v>5</v>
      </c>
      <c r="I481" s="7">
        <v>0.05</v>
      </c>
      <c r="J481">
        <v>213.51</v>
      </c>
      <c r="K481" t="str">
        <f>PROPER('Original Data'!K481)</f>
        <v>Cash</v>
      </c>
      <c r="L481" t="s">
        <v>55</v>
      </c>
      <c r="M481" t="str" cm="1">
        <f t="array" ref="M481">_xlfn.IFS(OR('Original Data'!M481=0,'Original Data'!M481="No",'Original Data'!M481=FALSE),"No",OR('Original Data'!M481=1,'Original Data'!M481="Yes",'Original Data'!M481=TRUE),"Yes")</f>
        <v>No</v>
      </c>
    </row>
    <row r="482" spans="1:13" x14ac:dyDescent="0.2">
      <c r="A482">
        <v>481</v>
      </c>
      <c r="B482" t="s">
        <v>83</v>
      </c>
      <c r="C482" s="5">
        <v>45620</v>
      </c>
      <c r="D482" t="s">
        <v>84</v>
      </c>
      <c r="E482" t="s">
        <v>48</v>
      </c>
      <c r="F482" t="s">
        <v>66</v>
      </c>
      <c r="G482" t="s">
        <v>67</v>
      </c>
      <c r="H482">
        <v>2</v>
      </c>
      <c r="I482" s="7">
        <v>0.25</v>
      </c>
      <c r="J482">
        <v>74.930000000000007</v>
      </c>
      <c r="K482" t="str">
        <f>PROPER('Original Data'!K482)</f>
        <v>Cash</v>
      </c>
      <c r="L482" t="s">
        <v>55</v>
      </c>
      <c r="M482" t="str" cm="1">
        <f t="array" ref="M482">_xlfn.IFS(OR('Original Data'!M482=0,'Original Data'!M482="No",'Original Data'!M482=FALSE),"No",OR('Original Data'!M482=1,'Original Data'!M482="Yes",'Original Data'!M482=TRUE),"Yes")</f>
        <v>No</v>
      </c>
    </row>
    <row r="483" spans="1:13" x14ac:dyDescent="0.2">
      <c r="A483">
        <v>482</v>
      </c>
      <c r="B483" t="s">
        <v>85</v>
      </c>
      <c r="C483" s="5">
        <v>45655</v>
      </c>
      <c r="D483" t="s">
        <v>86</v>
      </c>
      <c r="E483" t="s">
        <v>76</v>
      </c>
      <c r="F483" t="s">
        <v>44</v>
      </c>
      <c r="H483">
        <v>2</v>
      </c>
      <c r="I483" s="7">
        <v>0</v>
      </c>
      <c r="J483">
        <v>179.9</v>
      </c>
      <c r="K483" t="str">
        <f>PROPER('Original Data'!K483)</f>
        <v>Gift Card</v>
      </c>
      <c r="L483" t="s">
        <v>45</v>
      </c>
      <c r="M483" t="str" cm="1">
        <f t="array" ref="M483">_xlfn.IFS(OR('Original Data'!M483=0,'Original Data'!M483="No",'Original Data'!M483=FALSE),"No",OR('Original Data'!M483=1,'Original Data'!M483="Yes",'Original Data'!M483=TRUE),"Yes")</f>
        <v>Yes</v>
      </c>
    </row>
    <row r="484" spans="1:13" x14ac:dyDescent="0.2">
      <c r="A484">
        <v>483</v>
      </c>
      <c r="B484" t="s">
        <v>46</v>
      </c>
      <c r="C484" s="5">
        <v>45305</v>
      </c>
      <c r="D484" t="s">
        <v>47</v>
      </c>
      <c r="E484" t="s">
        <v>48</v>
      </c>
      <c r="F484" t="s">
        <v>40</v>
      </c>
      <c r="G484" t="s">
        <v>17</v>
      </c>
      <c r="H484">
        <v>5</v>
      </c>
      <c r="I484" s="7">
        <v>0.2</v>
      </c>
      <c r="J484">
        <v>199.8</v>
      </c>
      <c r="K484" t="str">
        <f>PROPER('Original Data'!K484)</f>
        <v>Credit Card</v>
      </c>
      <c r="M484" t="str" cm="1">
        <f t="array" ref="M484">_xlfn.IFS(OR('Original Data'!M484=0,'Original Data'!M484="No",'Original Data'!M484=FALSE),"No",OR('Original Data'!M484=1,'Original Data'!M484="Yes",'Original Data'!M484=TRUE),"Yes")</f>
        <v>No</v>
      </c>
    </row>
    <row r="485" spans="1:13" x14ac:dyDescent="0.2">
      <c r="A485">
        <v>484</v>
      </c>
      <c r="B485" t="s">
        <v>58</v>
      </c>
      <c r="C485" s="5">
        <v>45427</v>
      </c>
      <c r="D485" t="s">
        <v>59</v>
      </c>
      <c r="E485" t="s">
        <v>15</v>
      </c>
      <c r="F485" t="s">
        <v>21</v>
      </c>
      <c r="G485" t="s">
        <v>22</v>
      </c>
      <c r="H485">
        <v>3</v>
      </c>
      <c r="I485" s="7">
        <v>0.1</v>
      </c>
      <c r="J485">
        <v>161.87</v>
      </c>
      <c r="K485" t="str">
        <f>PROPER('Original Data'!K485)</f>
        <v>Debit Card</v>
      </c>
      <c r="L485" t="s">
        <v>63</v>
      </c>
      <c r="M485" t="str" cm="1">
        <f t="array" ref="M485">_xlfn.IFS(OR('Original Data'!M485=0,'Original Data'!M485="No",'Original Data'!M485=FALSE),"No",OR('Original Data'!M485=1,'Original Data'!M485="Yes",'Original Data'!M485=TRUE),"Yes")</f>
        <v>Yes</v>
      </c>
    </row>
    <row r="486" spans="1:13" x14ac:dyDescent="0.2">
      <c r="A486">
        <v>485</v>
      </c>
      <c r="B486" t="s">
        <v>71</v>
      </c>
      <c r="C486" s="5">
        <v>45610</v>
      </c>
      <c r="D486" t="s">
        <v>72</v>
      </c>
      <c r="E486" t="s">
        <v>33</v>
      </c>
      <c r="F486" t="s">
        <v>44</v>
      </c>
      <c r="H486">
        <v>2</v>
      </c>
      <c r="I486" s="7">
        <v>0</v>
      </c>
      <c r="J486">
        <v>119.9</v>
      </c>
      <c r="K486" t="str">
        <f>PROPER('Original Data'!K486)</f>
        <v>Gift Card</v>
      </c>
      <c r="L486" t="s">
        <v>41</v>
      </c>
      <c r="M486" t="str" cm="1">
        <f t="array" ref="M486">_xlfn.IFS(OR('Original Data'!M486=0,'Original Data'!M486="No",'Original Data'!M486=FALSE),"No",OR('Original Data'!M486=1,'Original Data'!M486="Yes",'Original Data'!M486=TRUE),"Yes")</f>
        <v>Yes</v>
      </c>
    </row>
    <row r="487" spans="1:13" x14ac:dyDescent="0.2">
      <c r="A487">
        <v>486</v>
      </c>
      <c r="B487" t="s">
        <v>24</v>
      </c>
      <c r="C487" s="5">
        <v>44952</v>
      </c>
      <c r="D487" t="s">
        <v>87</v>
      </c>
      <c r="E487" t="s">
        <v>39</v>
      </c>
      <c r="F487" t="s">
        <v>26</v>
      </c>
      <c r="G487" t="s">
        <v>22</v>
      </c>
      <c r="H487">
        <v>3</v>
      </c>
      <c r="I487" s="7">
        <v>0</v>
      </c>
      <c r="J487">
        <v>134.85</v>
      </c>
      <c r="K487" t="str">
        <f>PROPER('Original Data'!K487)</f>
        <v>Apple Pay</v>
      </c>
      <c r="L487" t="s">
        <v>45</v>
      </c>
      <c r="M487" t="str" cm="1">
        <f t="array" ref="M487">_xlfn.IFS(OR('Original Data'!M487=0,'Original Data'!M487="No",'Original Data'!M487=FALSE),"No",OR('Original Data'!M487=1,'Original Data'!M487="Yes",'Original Data'!M487=TRUE),"Yes")</f>
        <v>Yes</v>
      </c>
    </row>
    <row r="488" spans="1:13" x14ac:dyDescent="0.2">
      <c r="A488">
        <v>487</v>
      </c>
      <c r="B488" t="s">
        <v>81</v>
      </c>
      <c r="C488" s="5">
        <v>44946</v>
      </c>
      <c r="D488" t="s">
        <v>82</v>
      </c>
      <c r="E488" t="s">
        <v>15</v>
      </c>
      <c r="F488" t="s">
        <v>26</v>
      </c>
      <c r="G488" t="s">
        <v>22</v>
      </c>
      <c r="H488">
        <v>5</v>
      </c>
      <c r="I488" s="7">
        <v>0.05</v>
      </c>
      <c r="J488">
        <v>379.76</v>
      </c>
      <c r="K488" t="s">
        <v>90</v>
      </c>
      <c r="L488" t="s">
        <v>41</v>
      </c>
      <c r="M488" t="str" cm="1">
        <f t="array" ref="M488">_xlfn.IFS(OR('Original Data'!M488=0,'Original Data'!M488="No",'Original Data'!M488=FALSE),"No",OR('Original Data'!M488=1,'Original Data'!M488="Yes",'Original Data'!M488=TRUE),"Yes")</f>
        <v>Yes</v>
      </c>
    </row>
    <row r="489" spans="1:13" x14ac:dyDescent="0.2">
      <c r="A489">
        <v>488</v>
      </c>
      <c r="B489" t="s">
        <v>56</v>
      </c>
      <c r="C489" s="5">
        <v>44973</v>
      </c>
      <c r="D489" t="s">
        <v>57</v>
      </c>
      <c r="E489" t="s">
        <v>48</v>
      </c>
      <c r="F489" t="s">
        <v>16</v>
      </c>
      <c r="G489" t="s">
        <v>17</v>
      </c>
      <c r="H489">
        <v>5</v>
      </c>
      <c r="I489" s="7">
        <v>0.15</v>
      </c>
      <c r="J489">
        <v>361.25</v>
      </c>
      <c r="K489" t="s">
        <v>90</v>
      </c>
      <c r="L489" t="s">
        <v>28</v>
      </c>
      <c r="M489" t="str" cm="1">
        <f t="array" ref="M489">_xlfn.IFS(OR('Original Data'!M489=0,'Original Data'!M489="No",'Original Data'!M489=FALSE),"No",OR('Original Data'!M489=1,'Original Data'!M489="Yes",'Original Data'!M489=TRUE),"Yes")</f>
        <v>Yes</v>
      </c>
    </row>
    <row r="490" spans="1:13" x14ac:dyDescent="0.2">
      <c r="A490">
        <v>489</v>
      </c>
      <c r="B490" t="s">
        <v>46</v>
      </c>
      <c r="C490" s="5">
        <v>45114</v>
      </c>
      <c r="D490" t="s">
        <v>47</v>
      </c>
      <c r="E490" t="s">
        <v>48</v>
      </c>
      <c r="F490" t="s">
        <v>16</v>
      </c>
      <c r="G490" t="s">
        <v>17</v>
      </c>
      <c r="H490">
        <v>5</v>
      </c>
      <c r="I490" s="7">
        <v>0</v>
      </c>
      <c r="J490">
        <v>249.75</v>
      </c>
      <c r="K490" t="str">
        <f>PROPER('Original Data'!K490)</f>
        <v>Debit Card</v>
      </c>
      <c r="L490" t="s">
        <v>30</v>
      </c>
      <c r="M490" t="str" cm="1">
        <f t="array" ref="M490">_xlfn.IFS(OR('Original Data'!M490=0,'Original Data'!M490="No",'Original Data'!M490=FALSE),"No",OR('Original Data'!M490=1,'Original Data'!M490="Yes",'Original Data'!M490=TRUE),"Yes")</f>
        <v>No</v>
      </c>
    </row>
    <row r="491" spans="1:13" x14ac:dyDescent="0.2">
      <c r="A491">
        <v>490</v>
      </c>
      <c r="B491" t="s">
        <v>74</v>
      </c>
      <c r="C491" s="5">
        <v>45258</v>
      </c>
      <c r="D491" t="s">
        <v>75</v>
      </c>
      <c r="E491" t="s">
        <v>76</v>
      </c>
      <c r="F491" t="s">
        <v>53</v>
      </c>
      <c r="G491" t="s">
        <v>54</v>
      </c>
      <c r="H491">
        <v>1</v>
      </c>
      <c r="I491" s="7">
        <v>0.15</v>
      </c>
      <c r="J491">
        <v>38.21</v>
      </c>
      <c r="K491" t="str">
        <f>PROPER('Original Data'!K491)</f>
        <v>Gift Card</v>
      </c>
      <c r="L491" t="s">
        <v>45</v>
      </c>
      <c r="M491" t="str" cm="1">
        <f t="array" ref="M491">_xlfn.IFS(OR('Original Data'!M491=0,'Original Data'!M491="No",'Original Data'!M491=FALSE),"No",OR('Original Data'!M491=1,'Original Data'!M491="Yes",'Original Data'!M491=TRUE),"Yes")</f>
        <v>No</v>
      </c>
    </row>
    <row r="492" spans="1:13" x14ac:dyDescent="0.2">
      <c r="A492">
        <v>491</v>
      </c>
      <c r="B492" t="s">
        <v>46</v>
      </c>
      <c r="C492" s="5">
        <v>45493</v>
      </c>
      <c r="D492" t="str">
        <f>VLOOKUP(B492,'Original Data'!B:D,3,FALSE)</f>
        <v>Canvas Sneakers</v>
      </c>
      <c r="E492" t="str">
        <f>_xlfn.XLOOKUP('Cleaned Data'!B190,'Original Data'!B:B,'Original Data'!E:E)</f>
        <v>GAP</v>
      </c>
      <c r="F492" t="s">
        <v>21</v>
      </c>
      <c r="G492" t="s">
        <v>22</v>
      </c>
      <c r="H492">
        <v>3</v>
      </c>
      <c r="I492" s="7">
        <v>0</v>
      </c>
      <c r="J492">
        <v>149.85</v>
      </c>
      <c r="K492" t="str">
        <f>PROPER('Original Data'!K492)</f>
        <v>Gift Card</v>
      </c>
      <c r="L492" t="s">
        <v>49</v>
      </c>
      <c r="M492" t="s">
        <v>92</v>
      </c>
    </row>
    <row r="493" spans="1:13" x14ac:dyDescent="0.2">
      <c r="A493">
        <v>492</v>
      </c>
      <c r="B493" t="s">
        <v>19</v>
      </c>
      <c r="C493" s="5">
        <v>45343</v>
      </c>
      <c r="D493" t="s">
        <v>20</v>
      </c>
      <c r="E493" t="s">
        <v>15</v>
      </c>
      <c r="F493" t="s">
        <v>16</v>
      </c>
      <c r="G493" t="s">
        <v>17</v>
      </c>
      <c r="H493">
        <v>5</v>
      </c>
      <c r="I493" s="7">
        <v>0</v>
      </c>
      <c r="J493">
        <v>449.75</v>
      </c>
      <c r="K493" t="s">
        <v>90</v>
      </c>
      <c r="L493" t="s">
        <v>30</v>
      </c>
      <c r="M493" t="str" cm="1">
        <f t="array" ref="M493">_xlfn.IFS(OR('Original Data'!M493=0,'Original Data'!M493="No",'Original Data'!M493=FALSE),"No",OR('Original Data'!M493=1,'Original Data'!M493="Yes",'Original Data'!M493=TRUE),"Yes")</f>
        <v>Yes</v>
      </c>
    </row>
    <row r="494" spans="1:13" x14ac:dyDescent="0.2">
      <c r="A494">
        <v>493</v>
      </c>
      <c r="B494" t="s">
        <v>56</v>
      </c>
      <c r="C494" s="5">
        <v>45562</v>
      </c>
      <c r="D494" t="s">
        <v>57</v>
      </c>
      <c r="E494" t="s">
        <v>48</v>
      </c>
      <c r="F494" t="s">
        <v>21</v>
      </c>
      <c r="G494" t="s">
        <v>22</v>
      </c>
      <c r="H494">
        <v>4</v>
      </c>
      <c r="I494" s="7">
        <v>0</v>
      </c>
      <c r="J494">
        <v>340</v>
      </c>
      <c r="K494" t="str">
        <f>PROPER('Original Data'!K494)</f>
        <v>Gift Card</v>
      </c>
      <c r="L494" t="s">
        <v>23</v>
      </c>
      <c r="M494" t="str" cm="1">
        <f t="array" ref="M494">_xlfn.IFS(OR('Original Data'!M494=0,'Original Data'!M494="No",'Original Data'!M494=FALSE),"No",OR('Original Data'!M494=1,'Original Data'!M494="Yes",'Original Data'!M494=TRUE),"Yes")</f>
        <v>Yes</v>
      </c>
    </row>
    <row r="495" spans="1:13" x14ac:dyDescent="0.2">
      <c r="A495">
        <v>494</v>
      </c>
      <c r="B495" t="s">
        <v>81</v>
      </c>
      <c r="C495" s="5">
        <v>45473</v>
      </c>
      <c r="D495" t="s">
        <v>82</v>
      </c>
      <c r="E495" t="s">
        <v>15</v>
      </c>
      <c r="F495" t="s">
        <v>34</v>
      </c>
      <c r="G495" t="s">
        <v>35</v>
      </c>
      <c r="H495">
        <v>5</v>
      </c>
      <c r="I495" s="7">
        <v>0.1</v>
      </c>
      <c r="J495">
        <v>359.78</v>
      </c>
      <c r="K495" t="str">
        <f>PROPER('Original Data'!K495)</f>
        <v>Debit Card</v>
      </c>
      <c r="L495" t="s">
        <v>23</v>
      </c>
      <c r="M495" t="str" cm="1">
        <f t="array" ref="M495">_xlfn.IFS(OR('Original Data'!M495=0,'Original Data'!M495="No",'Original Data'!M495=FALSE),"No",OR('Original Data'!M495=1,'Original Data'!M495="Yes",'Original Data'!M495=TRUE),"Yes")</f>
        <v>Yes</v>
      </c>
    </row>
    <row r="496" spans="1:13" x14ac:dyDescent="0.2">
      <c r="A496">
        <v>495</v>
      </c>
      <c r="B496" t="s">
        <v>71</v>
      </c>
      <c r="C496" s="5">
        <v>45194</v>
      </c>
      <c r="D496" t="s">
        <v>72</v>
      </c>
      <c r="E496" t="s">
        <v>33</v>
      </c>
      <c r="F496" t="s">
        <v>34</v>
      </c>
      <c r="G496" t="s">
        <v>35</v>
      </c>
      <c r="H496">
        <v>5</v>
      </c>
      <c r="I496" s="7">
        <v>0.15</v>
      </c>
      <c r="J496">
        <v>254.79</v>
      </c>
      <c r="K496" t="str">
        <f>PROPER('Original Data'!K496)</f>
        <v>Apple Pay</v>
      </c>
      <c r="M496" t="str" cm="1">
        <f t="array" ref="M496">_xlfn.IFS(OR('Original Data'!M496=0,'Original Data'!M496="No",'Original Data'!M496=FALSE),"No",OR('Original Data'!M496=1,'Original Data'!M496="Yes",'Original Data'!M496=TRUE),"Yes")</f>
        <v>Yes</v>
      </c>
    </row>
    <row r="497" spans="1:13" x14ac:dyDescent="0.2">
      <c r="A497">
        <v>496</v>
      </c>
      <c r="B497" t="s">
        <v>71</v>
      </c>
      <c r="C497" s="5">
        <v>45104</v>
      </c>
      <c r="D497" t="s">
        <v>72</v>
      </c>
      <c r="E497" t="s">
        <v>33</v>
      </c>
      <c r="F497" t="s">
        <v>26</v>
      </c>
      <c r="G497" t="s">
        <v>22</v>
      </c>
      <c r="H497">
        <v>4</v>
      </c>
      <c r="I497" s="7">
        <v>0</v>
      </c>
      <c r="J497">
        <v>239.8</v>
      </c>
      <c r="K497" t="str">
        <f>PROPER('Original Data'!K497)</f>
        <v>Apple Pay</v>
      </c>
      <c r="L497" t="s">
        <v>23</v>
      </c>
      <c r="M497" t="str" cm="1">
        <f t="array" ref="M497">_xlfn.IFS(OR('Original Data'!M497=0,'Original Data'!M497="No",'Original Data'!M497=FALSE),"No",OR('Original Data'!M497=1,'Original Data'!M497="Yes",'Original Data'!M497=TRUE),"Yes")</f>
        <v>Yes</v>
      </c>
    </row>
    <row r="498" spans="1:13" x14ac:dyDescent="0.2">
      <c r="A498">
        <v>497</v>
      </c>
      <c r="B498" t="s">
        <v>46</v>
      </c>
      <c r="C498" s="5">
        <v>45108</v>
      </c>
      <c r="D498" t="str">
        <f>VLOOKUP(B498,'Original Data'!B:D,3,FALSE)</f>
        <v>Canvas Sneakers</v>
      </c>
      <c r="E498" t="str">
        <f>_xlfn.XLOOKUP('Cleaned Data'!B191,'Original Data'!B:B,'Original Data'!E:E)</f>
        <v>Old Navy</v>
      </c>
      <c r="F498" t="s">
        <v>44</v>
      </c>
      <c r="H498">
        <v>3</v>
      </c>
      <c r="I498" s="7">
        <v>0.2</v>
      </c>
      <c r="J498">
        <v>119.88</v>
      </c>
      <c r="K498" t="str">
        <f>PROPER('Original Data'!K498)</f>
        <v>Gift Card</v>
      </c>
      <c r="L498" t="s">
        <v>49</v>
      </c>
      <c r="M498" t="s">
        <v>92</v>
      </c>
    </row>
    <row r="499" spans="1:13" x14ac:dyDescent="0.2">
      <c r="A499">
        <v>498</v>
      </c>
      <c r="B499" t="s">
        <v>37</v>
      </c>
      <c r="C499" s="5">
        <v>45432</v>
      </c>
      <c r="D499" t="s">
        <v>38</v>
      </c>
      <c r="E499" t="s">
        <v>39</v>
      </c>
      <c r="G499" t="s">
        <v>25</v>
      </c>
      <c r="H499">
        <v>1</v>
      </c>
      <c r="I499" s="7">
        <v>0.1</v>
      </c>
      <c r="J499">
        <v>58.46</v>
      </c>
      <c r="K499" t="str">
        <f>PROPER('Original Data'!K499)</f>
        <v>Debit Card</v>
      </c>
      <c r="L499" t="s">
        <v>63</v>
      </c>
      <c r="M499" t="str" cm="1">
        <f t="array" ref="M499">_xlfn.IFS(OR('Original Data'!M499=0,'Original Data'!M499="No",'Original Data'!M499=FALSE),"No",OR('Original Data'!M499=1,'Original Data'!M499="Yes",'Original Data'!M499=TRUE),"Yes")</f>
        <v>Yes</v>
      </c>
    </row>
    <row r="500" spans="1:13" x14ac:dyDescent="0.2">
      <c r="A500">
        <v>499</v>
      </c>
      <c r="B500" t="s">
        <v>81</v>
      </c>
      <c r="C500" s="5">
        <v>45125</v>
      </c>
      <c r="D500" t="s">
        <v>82</v>
      </c>
      <c r="E500" t="s">
        <v>15</v>
      </c>
      <c r="F500" t="s">
        <v>53</v>
      </c>
      <c r="G500" t="s">
        <v>54</v>
      </c>
      <c r="H500">
        <v>5</v>
      </c>
      <c r="I500" s="7">
        <v>0.25</v>
      </c>
      <c r="J500">
        <v>299.81</v>
      </c>
      <c r="K500" t="s">
        <v>90</v>
      </c>
      <c r="L500" t="s">
        <v>45</v>
      </c>
      <c r="M500" t="str" cm="1">
        <f t="array" ref="M500">_xlfn.IFS(OR('Original Data'!M500=0,'Original Data'!M500="No",'Original Data'!M500=FALSE),"No",OR('Original Data'!M500=1,'Original Data'!M500="Yes",'Original Data'!M500=TRUE),"Yes")</f>
        <v>Yes</v>
      </c>
    </row>
    <row r="501" spans="1:13" x14ac:dyDescent="0.2">
      <c r="A501">
        <v>500</v>
      </c>
      <c r="B501" t="s">
        <v>78</v>
      </c>
      <c r="C501" s="5">
        <v>45621</v>
      </c>
      <c r="D501" t="s">
        <v>79</v>
      </c>
      <c r="E501" t="s">
        <v>48</v>
      </c>
      <c r="F501" t="s">
        <v>34</v>
      </c>
      <c r="G501" t="s">
        <v>35</v>
      </c>
      <c r="H501">
        <v>3</v>
      </c>
      <c r="I501" s="7">
        <v>0</v>
      </c>
      <c r="J501">
        <v>119.85</v>
      </c>
      <c r="K501" t="str">
        <f>PROPER('Original Data'!K501)</f>
        <v>Apple Pay</v>
      </c>
      <c r="M501" t="str" cm="1">
        <f t="array" ref="M501">_xlfn.IFS(OR('Original Data'!M501=0,'Original Data'!M501="No",'Original Data'!M501=FALSE),"No",OR('Original Data'!M501=1,'Original Data'!M501="Yes",'Original Data'!M501=TRUE),"Yes")</f>
        <v>Yes</v>
      </c>
    </row>
    <row r="502" spans="1:13" x14ac:dyDescent="0.2">
      <c r="A502">
        <v>501</v>
      </c>
      <c r="B502" t="s">
        <v>85</v>
      </c>
      <c r="C502" s="5">
        <v>45297</v>
      </c>
      <c r="D502" t="s">
        <v>86</v>
      </c>
      <c r="E502" t="s">
        <v>76</v>
      </c>
      <c r="F502" t="s">
        <v>21</v>
      </c>
      <c r="G502" t="s">
        <v>22</v>
      </c>
      <c r="H502">
        <v>3</v>
      </c>
      <c r="I502" s="7">
        <v>0</v>
      </c>
      <c r="J502">
        <v>269.85000000000002</v>
      </c>
      <c r="K502" t="str">
        <f>PROPER('Original Data'!K502)</f>
        <v>Gift Card</v>
      </c>
      <c r="M502" t="str" cm="1">
        <f t="array" ref="M502">_xlfn.IFS(OR('Original Data'!M502=0,'Original Data'!M502="No",'Original Data'!M502=FALSE),"No",OR('Original Data'!M502=1,'Original Data'!M502="Yes",'Original Data'!M502=TRUE),"Yes")</f>
        <v>Yes</v>
      </c>
    </row>
    <row r="503" spans="1:13" x14ac:dyDescent="0.2">
      <c r="A503">
        <v>502</v>
      </c>
      <c r="B503" t="s">
        <v>81</v>
      </c>
      <c r="C503" s="5">
        <v>45182</v>
      </c>
      <c r="D503" t="s">
        <v>82</v>
      </c>
      <c r="E503" t="s">
        <v>15</v>
      </c>
      <c r="F503" t="s">
        <v>16</v>
      </c>
      <c r="G503" t="s">
        <v>17</v>
      </c>
      <c r="H503">
        <v>1</v>
      </c>
      <c r="I503" s="7">
        <v>0.05</v>
      </c>
      <c r="J503">
        <v>75.95</v>
      </c>
      <c r="K503" t="str">
        <f>PROPER('Original Data'!K503)</f>
        <v>Credit Card</v>
      </c>
      <c r="L503" t="s">
        <v>28</v>
      </c>
      <c r="M503" t="str" cm="1">
        <f t="array" ref="M503">_xlfn.IFS(OR('Original Data'!M503=0,'Original Data'!M503="No",'Original Data'!M503=FALSE),"No",OR('Original Data'!M503=1,'Original Data'!M503="Yes",'Original Data'!M503=TRUE),"Yes")</f>
        <v>Yes</v>
      </c>
    </row>
    <row r="504" spans="1:13" x14ac:dyDescent="0.2">
      <c r="A504">
        <v>503</v>
      </c>
      <c r="B504" t="s">
        <v>64</v>
      </c>
      <c r="C504" s="5">
        <v>45275</v>
      </c>
      <c r="D504" t="s">
        <v>65</v>
      </c>
      <c r="E504" t="s">
        <v>33</v>
      </c>
      <c r="F504" t="s">
        <v>40</v>
      </c>
      <c r="G504" t="s">
        <v>17</v>
      </c>
      <c r="H504">
        <v>2</v>
      </c>
      <c r="I504" s="7">
        <v>0</v>
      </c>
      <c r="J504">
        <v>149.9</v>
      </c>
      <c r="K504" t="str">
        <f>PROPER('Original Data'!K504)</f>
        <v>Debit Card</v>
      </c>
      <c r="L504" t="s">
        <v>41</v>
      </c>
      <c r="M504" t="str" cm="1">
        <f t="array" ref="M504">_xlfn.IFS(OR('Original Data'!M504=0,'Original Data'!M504="No",'Original Data'!M504=FALSE),"No",OR('Original Data'!M504=1,'Original Data'!M504="Yes",'Original Data'!M504=TRUE),"Yes")</f>
        <v>No</v>
      </c>
    </row>
    <row r="505" spans="1:13" x14ac:dyDescent="0.2">
      <c r="A505">
        <v>504</v>
      </c>
      <c r="B505" t="s">
        <v>42</v>
      </c>
      <c r="C505" s="5">
        <v>45637</v>
      </c>
      <c r="D505" t="s">
        <v>91</v>
      </c>
      <c r="E505" t="s">
        <v>15</v>
      </c>
      <c r="F505" t="s">
        <v>16</v>
      </c>
      <c r="G505" t="s">
        <v>17</v>
      </c>
      <c r="H505">
        <v>1</v>
      </c>
      <c r="I505" s="7">
        <v>0</v>
      </c>
      <c r="J505">
        <v>129</v>
      </c>
      <c r="K505" t="str">
        <f>PROPER('Original Data'!K505)</f>
        <v>Cash</v>
      </c>
      <c r="L505" t="s">
        <v>28</v>
      </c>
      <c r="M505" t="str" cm="1">
        <f t="array" ref="M505">_xlfn.IFS(OR('Original Data'!M505=0,'Original Data'!M505="No",'Original Data'!M505=FALSE),"No",OR('Original Data'!M505=1,'Original Data'!M505="Yes",'Original Data'!M505=TRUE),"Yes")</f>
        <v>Yes</v>
      </c>
    </row>
    <row r="506" spans="1:13" x14ac:dyDescent="0.2">
      <c r="A506">
        <v>505</v>
      </c>
      <c r="B506" t="s">
        <v>56</v>
      </c>
      <c r="C506" s="5">
        <v>45025</v>
      </c>
      <c r="D506" t="s">
        <v>57</v>
      </c>
      <c r="E506" t="s">
        <v>48</v>
      </c>
      <c r="F506" t="s">
        <v>26</v>
      </c>
      <c r="G506" t="s">
        <v>22</v>
      </c>
      <c r="H506">
        <v>1</v>
      </c>
      <c r="I506" s="7">
        <v>0.1</v>
      </c>
      <c r="J506">
        <v>76.5</v>
      </c>
      <c r="K506" t="str">
        <f>PROPER('Original Data'!K506)</f>
        <v>Gift Card</v>
      </c>
      <c r="L506" t="s">
        <v>28</v>
      </c>
      <c r="M506" t="str" cm="1">
        <f t="array" ref="M506">_xlfn.IFS(OR('Original Data'!M506=0,'Original Data'!M506="No",'Original Data'!M506=FALSE),"No",OR('Original Data'!M506=1,'Original Data'!M506="Yes",'Original Data'!M506=TRUE),"Yes")</f>
        <v>Yes</v>
      </c>
    </row>
    <row r="507" spans="1:13" x14ac:dyDescent="0.2">
      <c r="A507">
        <v>506</v>
      </c>
      <c r="B507" t="s">
        <v>88</v>
      </c>
      <c r="C507" s="5">
        <v>45124</v>
      </c>
      <c r="D507" t="s">
        <v>89</v>
      </c>
      <c r="E507" t="s">
        <v>33</v>
      </c>
      <c r="F507" t="s">
        <v>16</v>
      </c>
      <c r="G507" t="s">
        <v>17</v>
      </c>
      <c r="H507">
        <v>1</v>
      </c>
      <c r="I507" s="7">
        <v>0.25</v>
      </c>
      <c r="J507">
        <v>148.5</v>
      </c>
      <c r="K507" t="s">
        <v>90</v>
      </c>
      <c r="L507" t="s">
        <v>49</v>
      </c>
      <c r="M507" t="str" cm="1">
        <f t="array" ref="M507">_xlfn.IFS(OR('Original Data'!M507=0,'Original Data'!M507="No",'Original Data'!M507=FALSE),"No",OR('Original Data'!M507=1,'Original Data'!M507="Yes",'Original Data'!M507=TRUE),"Yes")</f>
        <v>No</v>
      </c>
    </row>
    <row r="508" spans="1:13" x14ac:dyDescent="0.2">
      <c r="A508">
        <v>507</v>
      </c>
      <c r="B508" t="s">
        <v>83</v>
      </c>
      <c r="C508" s="5">
        <v>45067</v>
      </c>
      <c r="D508" t="s">
        <v>84</v>
      </c>
      <c r="E508" t="s">
        <v>48</v>
      </c>
      <c r="F508" t="s">
        <v>21</v>
      </c>
      <c r="G508" t="s">
        <v>22</v>
      </c>
      <c r="H508">
        <v>5</v>
      </c>
      <c r="I508" s="7">
        <v>0.25</v>
      </c>
      <c r="J508">
        <v>187.31</v>
      </c>
      <c r="K508" t="str">
        <f>PROPER('Original Data'!K508)</f>
        <v>Debit Card</v>
      </c>
      <c r="L508" t="s">
        <v>45</v>
      </c>
      <c r="M508" t="str" cm="1">
        <f t="array" ref="M508">_xlfn.IFS(OR('Original Data'!M508=0,'Original Data'!M508="No",'Original Data'!M508=FALSE),"No",OR('Original Data'!M508=1,'Original Data'!M508="Yes",'Original Data'!M508=TRUE),"Yes")</f>
        <v>No</v>
      </c>
    </row>
    <row r="509" spans="1:13" x14ac:dyDescent="0.2">
      <c r="A509">
        <v>508</v>
      </c>
      <c r="B509" t="s">
        <v>83</v>
      </c>
      <c r="C509" s="5">
        <v>44935</v>
      </c>
      <c r="D509" t="s">
        <v>84</v>
      </c>
      <c r="E509" t="s">
        <v>48</v>
      </c>
      <c r="F509" t="s">
        <v>66</v>
      </c>
      <c r="G509" t="s">
        <v>67</v>
      </c>
      <c r="H509">
        <v>3</v>
      </c>
      <c r="I509" s="7">
        <v>0.15</v>
      </c>
      <c r="J509">
        <v>127.37</v>
      </c>
      <c r="K509" t="str">
        <f>PROPER('Original Data'!K509)</f>
        <v>Cash</v>
      </c>
      <c r="L509" t="s">
        <v>30</v>
      </c>
      <c r="M509" t="str" cm="1">
        <f t="array" ref="M509">_xlfn.IFS(OR('Original Data'!M509=0,'Original Data'!M509="No",'Original Data'!M509=FALSE),"No",OR('Original Data'!M509=1,'Original Data'!M509="Yes",'Original Data'!M509=TRUE),"Yes")</f>
        <v>No</v>
      </c>
    </row>
    <row r="510" spans="1:13" x14ac:dyDescent="0.2">
      <c r="A510">
        <v>509</v>
      </c>
      <c r="B510" t="s">
        <v>37</v>
      </c>
      <c r="C510" s="5">
        <v>45414</v>
      </c>
      <c r="D510" t="s">
        <v>38</v>
      </c>
      <c r="E510" t="s">
        <v>39</v>
      </c>
      <c r="F510" t="s">
        <v>34</v>
      </c>
      <c r="G510" t="s">
        <v>35</v>
      </c>
      <c r="H510">
        <v>1</v>
      </c>
      <c r="I510" s="7">
        <v>0.15</v>
      </c>
      <c r="J510">
        <v>55.21</v>
      </c>
      <c r="K510" t="str">
        <f>PROPER('Original Data'!K510)</f>
        <v>Apple Pay</v>
      </c>
      <c r="L510" t="s">
        <v>63</v>
      </c>
      <c r="M510" t="str" cm="1">
        <f t="array" ref="M510">_xlfn.IFS(OR('Original Data'!M510=0,'Original Data'!M510="No",'Original Data'!M510=FALSE),"No",OR('Original Data'!M510=1,'Original Data'!M510="Yes",'Original Data'!M510=TRUE),"Yes")</f>
        <v>Yes</v>
      </c>
    </row>
    <row r="511" spans="1:13" x14ac:dyDescent="0.2">
      <c r="A511">
        <v>510</v>
      </c>
      <c r="B511" t="s">
        <v>24</v>
      </c>
      <c r="C511" s="5">
        <v>45581</v>
      </c>
      <c r="D511" t="s">
        <v>87</v>
      </c>
      <c r="E511" t="s">
        <v>39</v>
      </c>
      <c r="F511" t="s">
        <v>16</v>
      </c>
      <c r="G511" t="s">
        <v>17</v>
      </c>
      <c r="H511">
        <v>1</v>
      </c>
      <c r="I511" s="7">
        <v>0.25</v>
      </c>
      <c r="J511">
        <v>33.71</v>
      </c>
      <c r="K511" t="str">
        <f>PROPER('Original Data'!K511)</f>
        <v>Credit Card</v>
      </c>
      <c r="L511" t="s">
        <v>63</v>
      </c>
      <c r="M511" t="str" cm="1">
        <f t="array" ref="M511">_xlfn.IFS(OR('Original Data'!M511=0,'Original Data'!M511="No",'Original Data'!M511=FALSE),"No",OR('Original Data'!M511=1,'Original Data'!M511="Yes",'Original Data'!M511=TRUE),"Yes")</f>
        <v>Yes</v>
      </c>
    </row>
    <row r="512" spans="1:13" x14ac:dyDescent="0.2">
      <c r="A512">
        <v>511</v>
      </c>
      <c r="B512" t="s">
        <v>31</v>
      </c>
      <c r="C512" s="5">
        <v>45293</v>
      </c>
      <c r="D512" t="s">
        <v>32</v>
      </c>
      <c r="E512" t="s">
        <v>33</v>
      </c>
      <c r="F512" t="s">
        <v>21</v>
      </c>
      <c r="G512" t="s">
        <v>22</v>
      </c>
      <c r="H512">
        <v>1</v>
      </c>
      <c r="I512" s="7">
        <v>0.15</v>
      </c>
      <c r="J512">
        <v>67.959999999999994</v>
      </c>
      <c r="K512" t="str">
        <f>PROPER('Original Data'!K512)</f>
        <v>Credit Card</v>
      </c>
      <c r="L512" t="s">
        <v>23</v>
      </c>
      <c r="M512" t="str" cm="1">
        <f t="array" ref="M512">_xlfn.IFS(OR('Original Data'!M512=0,'Original Data'!M512="No",'Original Data'!M512=FALSE),"No",OR('Original Data'!M512=1,'Original Data'!M512="Yes",'Original Data'!M512=TRUE),"Yes")</f>
        <v>No</v>
      </c>
    </row>
    <row r="513" spans="1:13" x14ac:dyDescent="0.2">
      <c r="A513">
        <v>512</v>
      </c>
      <c r="B513" t="s">
        <v>37</v>
      </c>
      <c r="C513" s="5">
        <v>45105</v>
      </c>
      <c r="D513" t="s">
        <v>38</v>
      </c>
      <c r="E513" t="s">
        <v>39</v>
      </c>
      <c r="F513" t="s">
        <v>34</v>
      </c>
      <c r="G513" t="s">
        <v>35</v>
      </c>
      <c r="H513">
        <v>3</v>
      </c>
      <c r="I513" s="7">
        <v>0</v>
      </c>
      <c r="J513">
        <v>194.85</v>
      </c>
      <c r="K513" t="str">
        <f>PROPER('Original Data'!K513)</f>
        <v>Cash</v>
      </c>
      <c r="L513" t="s">
        <v>63</v>
      </c>
      <c r="M513" t="str" cm="1">
        <f t="array" ref="M513">_xlfn.IFS(OR('Original Data'!M513=0,'Original Data'!M513="No",'Original Data'!M513=FALSE),"No",OR('Original Data'!M513=1,'Original Data'!M513="Yes",'Original Data'!M513=TRUE),"Yes")</f>
        <v>Yes</v>
      </c>
    </row>
    <row r="514" spans="1:13" x14ac:dyDescent="0.2">
      <c r="A514">
        <v>513</v>
      </c>
      <c r="B514" t="s">
        <v>88</v>
      </c>
      <c r="C514" s="5">
        <v>45305</v>
      </c>
      <c r="D514" t="s">
        <v>89</v>
      </c>
      <c r="E514" t="s">
        <v>33</v>
      </c>
      <c r="F514" t="s">
        <v>16</v>
      </c>
      <c r="G514" t="s">
        <v>17</v>
      </c>
      <c r="H514">
        <v>2</v>
      </c>
      <c r="I514" s="7">
        <v>0.1</v>
      </c>
      <c r="J514">
        <v>356.4</v>
      </c>
      <c r="K514" t="str">
        <f>PROPER('Original Data'!K514)</f>
        <v>Debit Card</v>
      </c>
      <c r="M514" t="str" cm="1">
        <f t="array" ref="M514">_xlfn.IFS(OR('Original Data'!M514=0,'Original Data'!M514="No",'Original Data'!M514=FALSE),"No",OR('Original Data'!M514=1,'Original Data'!M514="Yes",'Original Data'!M514=TRUE),"Yes")</f>
        <v>No</v>
      </c>
    </row>
    <row r="515" spans="1:13" x14ac:dyDescent="0.2">
      <c r="A515">
        <v>514</v>
      </c>
      <c r="B515" t="s">
        <v>37</v>
      </c>
      <c r="C515" s="5">
        <v>45540</v>
      </c>
      <c r="D515" t="s">
        <v>38</v>
      </c>
      <c r="E515" t="s">
        <v>39</v>
      </c>
      <c r="F515" t="s">
        <v>66</v>
      </c>
      <c r="G515" t="s">
        <v>67</v>
      </c>
      <c r="H515">
        <v>2</v>
      </c>
      <c r="I515" s="7">
        <v>0.2</v>
      </c>
      <c r="J515">
        <v>103.92</v>
      </c>
      <c r="K515" t="str">
        <f>PROPER('Original Data'!K515)</f>
        <v>Cash</v>
      </c>
      <c r="L515" t="s">
        <v>49</v>
      </c>
      <c r="M515" t="str" cm="1">
        <f t="array" ref="M515">_xlfn.IFS(OR('Original Data'!M515=0,'Original Data'!M515="No",'Original Data'!M515=FALSE),"No",OR('Original Data'!M515=1,'Original Data'!M515="Yes",'Original Data'!M515=TRUE),"Yes")</f>
        <v>Yes</v>
      </c>
    </row>
    <row r="516" spans="1:13" x14ac:dyDescent="0.2">
      <c r="A516">
        <v>515</v>
      </c>
      <c r="B516" t="s">
        <v>64</v>
      </c>
      <c r="C516" s="5">
        <v>45010</v>
      </c>
      <c r="D516" t="s">
        <v>65</v>
      </c>
      <c r="E516" t="s">
        <v>33</v>
      </c>
      <c r="F516" t="s">
        <v>26</v>
      </c>
      <c r="G516" t="s">
        <v>22</v>
      </c>
      <c r="H516">
        <v>2</v>
      </c>
      <c r="I516" s="7">
        <v>0.25</v>
      </c>
      <c r="J516">
        <v>112.43</v>
      </c>
      <c r="K516" t="str">
        <f>PROPER('Original Data'!K516)</f>
        <v>Apple Pay</v>
      </c>
      <c r="L516" t="s">
        <v>63</v>
      </c>
      <c r="M516" t="str" cm="1">
        <f t="array" ref="M516">_xlfn.IFS(OR('Original Data'!M516=0,'Original Data'!M516="No",'Original Data'!M516=FALSE),"No",OR('Original Data'!M516=1,'Original Data'!M516="Yes",'Original Data'!M516=TRUE),"Yes")</f>
        <v>No</v>
      </c>
    </row>
    <row r="517" spans="1:13" x14ac:dyDescent="0.2">
      <c r="A517">
        <v>516</v>
      </c>
      <c r="B517" t="s">
        <v>88</v>
      </c>
      <c r="C517" s="5">
        <v>45201</v>
      </c>
      <c r="D517" t="s">
        <v>89</v>
      </c>
      <c r="E517" t="s">
        <v>33</v>
      </c>
      <c r="F517" t="s">
        <v>66</v>
      </c>
      <c r="G517" t="s">
        <v>67</v>
      </c>
      <c r="H517">
        <v>3</v>
      </c>
      <c r="J517">
        <v>594</v>
      </c>
      <c r="K517" t="str">
        <f>PROPER('Original Data'!K517)</f>
        <v>Gift Card</v>
      </c>
      <c r="L517" t="s">
        <v>41</v>
      </c>
      <c r="M517" t="str" cm="1">
        <f t="array" ref="M517">_xlfn.IFS(OR('Original Data'!M517=0,'Original Data'!M517="No",'Original Data'!M517=FALSE),"No",OR('Original Data'!M517=1,'Original Data'!M517="Yes",'Original Data'!M517=TRUE),"Yes")</f>
        <v>No</v>
      </c>
    </row>
    <row r="518" spans="1:13" x14ac:dyDescent="0.2">
      <c r="A518">
        <v>517</v>
      </c>
      <c r="B518" t="s">
        <v>74</v>
      </c>
      <c r="C518" s="5">
        <v>45490</v>
      </c>
      <c r="D518" t="s">
        <v>75</v>
      </c>
      <c r="E518" t="s">
        <v>76</v>
      </c>
      <c r="F518" t="s">
        <v>21</v>
      </c>
      <c r="G518" t="s">
        <v>22</v>
      </c>
      <c r="H518">
        <v>5</v>
      </c>
      <c r="I518" s="7">
        <v>0</v>
      </c>
      <c r="J518">
        <v>224.75</v>
      </c>
      <c r="K518" t="str">
        <f>PROPER('Original Data'!K518)</f>
        <v>Cash</v>
      </c>
      <c r="L518" t="s">
        <v>49</v>
      </c>
      <c r="M518" t="str" cm="1">
        <f t="array" ref="M518">_xlfn.IFS(OR('Original Data'!M518=0,'Original Data'!M518="No",'Original Data'!M518=FALSE),"No",OR('Original Data'!M518=1,'Original Data'!M518="Yes",'Original Data'!M518=TRUE),"Yes")</f>
        <v>No</v>
      </c>
    </row>
    <row r="519" spans="1:13" x14ac:dyDescent="0.2">
      <c r="A519">
        <v>518</v>
      </c>
      <c r="B519" t="s">
        <v>24</v>
      </c>
      <c r="C519" s="5">
        <v>45436</v>
      </c>
      <c r="D519" t="str">
        <f>VLOOKUP(B519,'Original Data'!B:D,3,FALSE)</f>
        <v>NULL</v>
      </c>
      <c r="E519" t="str">
        <f>_xlfn.XLOOKUP('Cleaned Data'!B852,'Original Data'!B:B,'Original Data'!E:E)</f>
        <v>Old Navy</v>
      </c>
      <c r="F519" t="s">
        <v>21</v>
      </c>
      <c r="G519" t="s">
        <v>22</v>
      </c>
      <c r="H519">
        <v>4</v>
      </c>
      <c r="I519" s="7">
        <v>0.2</v>
      </c>
      <c r="J519">
        <v>143.84</v>
      </c>
      <c r="K519" t="str">
        <f>PROPER('Original Data'!K519)</f>
        <v>Cash</v>
      </c>
      <c r="L519" t="s">
        <v>28</v>
      </c>
      <c r="M519" t="s">
        <v>92</v>
      </c>
    </row>
    <row r="520" spans="1:13" x14ac:dyDescent="0.2">
      <c r="A520">
        <v>519</v>
      </c>
      <c r="B520" t="s">
        <v>64</v>
      </c>
      <c r="C520" s="5">
        <v>45295</v>
      </c>
      <c r="D520" t="s">
        <v>65</v>
      </c>
      <c r="E520" t="s">
        <v>33</v>
      </c>
      <c r="F520" t="s">
        <v>16</v>
      </c>
      <c r="G520" t="s">
        <v>17</v>
      </c>
      <c r="H520">
        <v>2</v>
      </c>
      <c r="I520" s="7">
        <v>0</v>
      </c>
      <c r="J520">
        <v>149.9</v>
      </c>
      <c r="K520" t="str">
        <f>PROPER('Original Data'!K520)</f>
        <v>Credit Card</v>
      </c>
      <c r="L520" t="s">
        <v>55</v>
      </c>
      <c r="M520" t="str" cm="1">
        <f t="array" ref="M520">_xlfn.IFS(OR('Original Data'!M520=0,'Original Data'!M520="No",'Original Data'!M520=FALSE),"No",OR('Original Data'!M520=1,'Original Data'!M520="Yes",'Original Data'!M520=TRUE),"Yes")</f>
        <v>No</v>
      </c>
    </row>
    <row r="521" spans="1:13" x14ac:dyDescent="0.2">
      <c r="A521">
        <v>520</v>
      </c>
      <c r="B521" t="s">
        <v>56</v>
      </c>
      <c r="C521" s="5">
        <v>45281</v>
      </c>
      <c r="D521" t="s">
        <v>57</v>
      </c>
      <c r="E521" t="s">
        <v>48</v>
      </c>
      <c r="F521" t="s">
        <v>66</v>
      </c>
      <c r="G521" t="s">
        <v>67</v>
      </c>
      <c r="H521">
        <v>3</v>
      </c>
      <c r="J521">
        <v>255</v>
      </c>
      <c r="K521" t="str">
        <f>PROPER('Original Data'!K521)</f>
        <v>Cash</v>
      </c>
      <c r="L521" t="s">
        <v>30</v>
      </c>
      <c r="M521" t="str" cm="1">
        <f t="array" ref="M521">_xlfn.IFS(OR('Original Data'!M521=0,'Original Data'!M521="No",'Original Data'!M521=FALSE),"No",OR('Original Data'!M521=1,'Original Data'!M521="Yes",'Original Data'!M521=TRUE),"Yes")</f>
        <v>Yes</v>
      </c>
    </row>
    <row r="522" spans="1:13" x14ac:dyDescent="0.2">
      <c r="A522">
        <v>521</v>
      </c>
      <c r="B522" t="s">
        <v>78</v>
      </c>
      <c r="C522" s="5">
        <v>45014</v>
      </c>
      <c r="D522" t="s">
        <v>79</v>
      </c>
      <c r="E522" t="s">
        <v>48</v>
      </c>
      <c r="F522" t="s">
        <v>34</v>
      </c>
      <c r="G522" t="s">
        <v>35</v>
      </c>
      <c r="H522">
        <v>5</v>
      </c>
      <c r="I522" s="7">
        <v>0.25</v>
      </c>
      <c r="J522">
        <v>149.81</v>
      </c>
      <c r="K522" t="str">
        <f>PROPER('Original Data'!K522)</f>
        <v>Cash</v>
      </c>
      <c r="M522" t="str" cm="1">
        <f t="array" ref="M522">_xlfn.IFS(OR('Original Data'!M522=0,'Original Data'!M522="No",'Original Data'!M522=FALSE),"No",OR('Original Data'!M522=1,'Original Data'!M522="Yes",'Original Data'!M522=TRUE),"Yes")</f>
        <v>Yes</v>
      </c>
    </row>
    <row r="523" spans="1:13" x14ac:dyDescent="0.2">
      <c r="A523">
        <v>522</v>
      </c>
      <c r="B523" t="s">
        <v>50</v>
      </c>
      <c r="C523" s="5">
        <v>45157</v>
      </c>
      <c r="D523" t="s">
        <v>51</v>
      </c>
      <c r="E523" t="s">
        <v>15</v>
      </c>
      <c r="F523" t="s">
        <v>66</v>
      </c>
      <c r="G523" t="s">
        <v>67</v>
      </c>
      <c r="H523">
        <v>1</v>
      </c>
      <c r="I523" s="7">
        <v>0.25</v>
      </c>
      <c r="J523">
        <v>52.46</v>
      </c>
      <c r="K523" t="str">
        <f>PROPER('Original Data'!K523)</f>
        <v>Cash</v>
      </c>
      <c r="L523" t="s">
        <v>49</v>
      </c>
      <c r="M523" t="str" cm="1">
        <f t="array" ref="M523">_xlfn.IFS(OR('Original Data'!M523=0,'Original Data'!M523="No",'Original Data'!M523=FALSE),"No",OR('Original Data'!M523=1,'Original Data'!M523="Yes",'Original Data'!M523=TRUE),"Yes")</f>
        <v>No</v>
      </c>
    </row>
    <row r="524" spans="1:13" x14ac:dyDescent="0.2">
      <c r="A524">
        <v>523</v>
      </c>
      <c r="B524" t="s">
        <v>81</v>
      </c>
      <c r="C524" s="5">
        <v>45327</v>
      </c>
      <c r="D524" t="s">
        <v>82</v>
      </c>
      <c r="E524" t="s">
        <v>15</v>
      </c>
      <c r="F524" t="s">
        <v>40</v>
      </c>
      <c r="G524" t="s">
        <v>17</v>
      </c>
      <c r="H524">
        <v>5</v>
      </c>
      <c r="I524" s="7">
        <v>0.2</v>
      </c>
      <c r="J524">
        <v>319.8</v>
      </c>
      <c r="K524" t="str">
        <f>PROPER('Original Data'!K524)</f>
        <v>Debit Card</v>
      </c>
      <c r="L524" t="s">
        <v>28</v>
      </c>
      <c r="M524" t="str" cm="1">
        <f t="array" ref="M524">_xlfn.IFS(OR('Original Data'!M524=0,'Original Data'!M524="No",'Original Data'!M524=FALSE),"No",OR('Original Data'!M524=1,'Original Data'!M524="Yes",'Original Data'!M524=TRUE),"Yes")</f>
        <v>Yes</v>
      </c>
    </row>
    <row r="525" spans="1:13" x14ac:dyDescent="0.2">
      <c r="A525">
        <v>524</v>
      </c>
      <c r="B525" t="s">
        <v>58</v>
      </c>
      <c r="C525" s="5">
        <v>45130</v>
      </c>
      <c r="D525" t="s">
        <v>59</v>
      </c>
      <c r="E525" t="s">
        <v>15</v>
      </c>
      <c r="F525" t="s">
        <v>66</v>
      </c>
      <c r="G525" t="s">
        <v>67</v>
      </c>
      <c r="H525">
        <v>5</v>
      </c>
      <c r="I525" s="7">
        <v>0.25</v>
      </c>
      <c r="J525">
        <v>224.81</v>
      </c>
      <c r="K525" t="str">
        <f>PROPER('Original Data'!K525)</f>
        <v>Debit Card</v>
      </c>
      <c r="L525" t="s">
        <v>23</v>
      </c>
      <c r="M525" t="str" cm="1">
        <f t="array" ref="M525">_xlfn.IFS(OR('Original Data'!M525=0,'Original Data'!M525="No",'Original Data'!M525=FALSE),"No",OR('Original Data'!M525=1,'Original Data'!M525="Yes",'Original Data'!M525=TRUE),"Yes")</f>
        <v>Yes</v>
      </c>
    </row>
    <row r="526" spans="1:13" x14ac:dyDescent="0.2">
      <c r="A526">
        <v>525</v>
      </c>
      <c r="B526" t="s">
        <v>74</v>
      </c>
      <c r="C526" s="5">
        <v>45355</v>
      </c>
      <c r="D526" t="s">
        <v>75</v>
      </c>
      <c r="E526" t="s">
        <v>76</v>
      </c>
      <c r="F526" t="s">
        <v>21</v>
      </c>
      <c r="G526" t="s">
        <v>22</v>
      </c>
      <c r="H526">
        <v>2</v>
      </c>
      <c r="I526" s="7">
        <v>0</v>
      </c>
      <c r="J526">
        <v>89.9</v>
      </c>
      <c r="K526" t="s">
        <v>90</v>
      </c>
      <c r="L526" t="s">
        <v>45</v>
      </c>
      <c r="M526" t="str" cm="1">
        <f t="array" ref="M526">_xlfn.IFS(OR('Original Data'!M526=0,'Original Data'!M526="No",'Original Data'!M526=FALSE),"No",OR('Original Data'!M526=1,'Original Data'!M526="Yes",'Original Data'!M526=TRUE),"Yes")</f>
        <v>No</v>
      </c>
    </row>
    <row r="527" spans="1:13" x14ac:dyDescent="0.2">
      <c r="A527">
        <v>526</v>
      </c>
      <c r="B527" t="s">
        <v>71</v>
      </c>
      <c r="C527" s="5">
        <v>45628</v>
      </c>
      <c r="D527" t="s">
        <v>72</v>
      </c>
      <c r="E527" t="s">
        <v>33</v>
      </c>
      <c r="F527" t="s">
        <v>66</v>
      </c>
      <c r="G527" t="s">
        <v>67</v>
      </c>
      <c r="H527">
        <v>5</v>
      </c>
      <c r="I527" s="7">
        <v>0.1</v>
      </c>
      <c r="J527">
        <v>269.77999999999997</v>
      </c>
      <c r="K527" t="s">
        <v>90</v>
      </c>
      <c r="L527" t="s">
        <v>63</v>
      </c>
      <c r="M527" t="str" cm="1">
        <f t="array" ref="M527">_xlfn.IFS(OR('Original Data'!M527=0,'Original Data'!M527="No",'Original Data'!M527=FALSE),"No",OR('Original Data'!M527=1,'Original Data'!M527="Yes",'Original Data'!M527=TRUE),"Yes")</f>
        <v>Yes</v>
      </c>
    </row>
    <row r="528" spans="1:13" x14ac:dyDescent="0.2">
      <c r="A528">
        <v>527</v>
      </c>
      <c r="B528" t="s">
        <v>24</v>
      </c>
      <c r="C528" s="5">
        <v>45588</v>
      </c>
      <c r="D528" t="s">
        <v>87</v>
      </c>
      <c r="E528" t="s">
        <v>39</v>
      </c>
      <c r="F528" t="s">
        <v>44</v>
      </c>
      <c r="H528">
        <v>4</v>
      </c>
      <c r="I528" s="7">
        <v>0</v>
      </c>
      <c r="J528">
        <v>179.8</v>
      </c>
      <c r="K528" t="str">
        <f>PROPER('Original Data'!K528)</f>
        <v>Cash</v>
      </c>
      <c r="L528" t="s">
        <v>55</v>
      </c>
      <c r="M528" t="str" cm="1">
        <f t="array" ref="M528">_xlfn.IFS(OR('Original Data'!M528=0,'Original Data'!M528="No",'Original Data'!M528=FALSE),"No",OR('Original Data'!M528=1,'Original Data'!M528="Yes",'Original Data'!M528=TRUE),"Yes")</f>
        <v>Yes</v>
      </c>
    </row>
    <row r="529" spans="1:13" x14ac:dyDescent="0.2">
      <c r="A529">
        <v>528</v>
      </c>
      <c r="B529" t="s">
        <v>24</v>
      </c>
      <c r="C529" s="5">
        <v>45642</v>
      </c>
      <c r="D529" t="s">
        <v>87</v>
      </c>
      <c r="E529" t="s">
        <v>39</v>
      </c>
      <c r="F529" t="s">
        <v>21</v>
      </c>
      <c r="G529" t="s">
        <v>22</v>
      </c>
      <c r="H529">
        <v>4</v>
      </c>
      <c r="I529" s="7">
        <v>0</v>
      </c>
      <c r="J529">
        <v>179.8</v>
      </c>
      <c r="K529" t="str">
        <f>PROPER('Original Data'!K529)</f>
        <v>Gift Card</v>
      </c>
      <c r="L529" t="s">
        <v>55</v>
      </c>
      <c r="M529" t="str" cm="1">
        <f t="array" ref="M529">_xlfn.IFS(OR('Original Data'!M529=0,'Original Data'!M529="No",'Original Data'!M529=FALSE),"No",OR('Original Data'!M529=1,'Original Data'!M529="Yes",'Original Data'!M529=TRUE),"Yes")</f>
        <v>Yes</v>
      </c>
    </row>
    <row r="530" spans="1:13" x14ac:dyDescent="0.2">
      <c r="A530">
        <v>529</v>
      </c>
      <c r="B530" t="s">
        <v>83</v>
      </c>
      <c r="C530" s="5">
        <v>45034</v>
      </c>
      <c r="D530" t="s">
        <v>84</v>
      </c>
      <c r="E530" t="s">
        <v>48</v>
      </c>
      <c r="F530" t="s">
        <v>34</v>
      </c>
      <c r="G530" t="s">
        <v>35</v>
      </c>
      <c r="H530">
        <v>4</v>
      </c>
      <c r="I530" s="7">
        <v>0</v>
      </c>
      <c r="J530">
        <v>199.8</v>
      </c>
      <c r="K530" t="str">
        <f>PROPER('Original Data'!K530)</f>
        <v>Credit Card</v>
      </c>
      <c r="L530" t="s">
        <v>49</v>
      </c>
      <c r="M530" t="str" cm="1">
        <f t="array" ref="M530">_xlfn.IFS(OR('Original Data'!M530=0,'Original Data'!M530="No",'Original Data'!M530=FALSE),"No",OR('Original Data'!M530=1,'Original Data'!M530="Yes",'Original Data'!M530=TRUE),"Yes")</f>
        <v>No</v>
      </c>
    </row>
    <row r="531" spans="1:13" x14ac:dyDescent="0.2">
      <c r="A531">
        <v>530</v>
      </c>
      <c r="B531" t="s">
        <v>74</v>
      </c>
      <c r="C531" s="5">
        <v>44965</v>
      </c>
      <c r="D531" t="s">
        <v>75</v>
      </c>
      <c r="E531" t="s">
        <v>76</v>
      </c>
      <c r="F531" t="s">
        <v>44</v>
      </c>
      <c r="H531">
        <v>3</v>
      </c>
      <c r="I531" s="7">
        <v>0.2</v>
      </c>
      <c r="J531">
        <v>107.88</v>
      </c>
      <c r="K531" t="str">
        <f>PROPER('Original Data'!K531)</f>
        <v>Gift Card</v>
      </c>
      <c r="L531" t="s">
        <v>63</v>
      </c>
      <c r="M531" t="str" cm="1">
        <f t="array" ref="M531">_xlfn.IFS(OR('Original Data'!M531=0,'Original Data'!M531="No",'Original Data'!M531=FALSE),"No",OR('Original Data'!M531=1,'Original Data'!M531="Yes",'Original Data'!M531=TRUE),"Yes")</f>
        <v>No</v>
      </c>
    </row>
    <row r="532" spans="1:13" x14ac:dyDescent="0.2">
      <c r="A532">
        <v>531</v>
      </c>
      <c r="B532" t="s">
        <v>61</v>
      </c>
      <c r="C532" s="5">
        <v>44945</v>
      </c>
      <c r="D532" t="s">
        <v>62</v>
      </c>
      <c r="E532" t="s">
        <v>33</v>
      </c>
      <c r="F532" t="s">
        <v>44</v>
      </c>
      <c r="H532">
        <v>4</v>
      </c>
      <c r="I532" s="7">
        <v>0.1</v>
      </c>
      <c r="J532">
        <v>125.96</v>
      </c>
      <c r="K532" t="str">
        <f>PROPER('Original Data'!K532)</f>
        <v>Debit Card</v>
      </c>
      <c r="L532" t="s">
        <v>45</v>
      </c>
      <c r="M532" t="str" cm="1">
        <f t="array" ref="M532">_xlfn.IFS(OR('Original Data'!M532=0,'Original Data'!M532="No",'Original Data'!M532=FALSE),"No",OR('Original Data'!M532=1,'Original Data'!M532="Yes",'Original Data'!M532=TRUE),"Yes")</f>
        <v>No</v>
      </c>
    </row>
    <row r="533" spans="1:13" x14ac:dyDescent="0.2">
      <c r="A533">
        <v>532</v>
      </c>
      <c r="B533" t="s">
        <v>31</v>
      </c>
      <c r="C533" s="5">
        <v>45640</v>
      </c>
      <c r="D533" t="s">
        <v>32</v>
      </c>
      <c r="E533" t="s">
        <v>33</v>
      </c>
      <c r="F533" t="s">
        <v>40</v>
      </c>
      <c r="G533" t="s">
        <v>17</v>
      </c>
      <c r="H533">
        <v>2</v>
      </c>
      <c r="I533" s="7">
        <v>0</v>
      </c>
      <c r="J533">
        <v>159.9</v>
      </c>
      <c r="K533" t="str">
        <f>PROPER('Original Data'!K533)</f>
        <v>Gift Card</v>
      </c>
      <c r="L533" t="s">
        <v>63</v>
      </c>
      <c r="M533" t="str" cm="1">
        <f t="array" ref="M533">_xlfn.IFS(OR('Original Data'!M533=0,'Original Data'!M533="No",'Original Data'!M533=FALSE),"No",OR('Original Data'!M533=1,'Original Data'!M533="Yes",'Original Data'!M533=TRUE),"Yes")</f>
        <v>No</v>
      </c>
    </row>
    <row r="534" spans="1:13" x14ac:dyDescent="0.2">
      <c r="A534">
        <v>533</v>
      </c>
      <c r="B534" t="s">
        <v>58</v>
      </c>
      <c r="C534" s="5">
        <v>45171</v>
      </c>
      <c r="D534" t="s">
        <v>59</v>
      </c>
      <c r="E534" t="s">
        <v>15</v>
      </c>
      <c r="F534" t="s">
        <v>26</v>
      </c>
      <c r="G534" t="s">
        <v>22</v>
      </c>
      <c r="H534">
        <v>4</v>
      </c>
      <c r="I534" s="7">
        <v>0.05</v>
      </c>
      <c r="J534">
        <v>227.81</v>
      </c>
      <c r="K534" t="str">
        <f>PROPER('Original Data'!K534)</f>
        <v>Cash</v>
      </c>
      <c r="L534" t="s">
        <v>63</v>
      </c>
      <c r="M534" t="str" cm="1">
        <f t="array" ref="M534">_xlfn.IFS(OR('Original Data'!M534=0,'Original Data'!M534="No",'Original Data'!M534=FALSE),"No",OR('Original Data'!M534=1,'Original Data'!M534="Yes",'Original Data'!M534=TRUE),"Yes")</f>
        <v>Yes</v>
      </c>
    </row>
    <row r="535" spans="1:13" x14ac:dyDescent="0.2">
      <c r="A535">
        <v>534</v>
      </c>
      <c r="B535" t="s">
        <v>31</v>
      </c>
      <c r="C535" s="5">
        <v>45257</v>
      </c>
      <c r="D535" t="s">
        <v>32</v>
      </c>
      <c r="E535" t="s">
        <v>33</v>
      </c>
      <c r="F535" t="s">
        <v>66</v>
      </c>
      <c r="G535" t="s">
        <v>67</v>
      </c>
      <c r="H535">
        <v>1</v>
      </c>
      <c r="I535" s="7">
        <v>0.2</v>
      </c>
      <c r="J535">
        <v>63.96</v>
      </c>
      <c r="K535" t="str">
        <f>PROPER('Original Data'!K535)</f>
        <v>Cash</v>
      </c>
      <c r="L535" t="s">
        <v>55</v>
      </c>
      <c r="M535" t="str" cm="1">
        <f t="array" ref="M535">_xlfn.IFS(OR('Original Data'!M535=0,'Original Data'!M535="No",'Original Data'!M535=FALSE),"No",OR('Original Data'!M535=1,'Original Data'!M535="Yes",'Original Data'!M535=TRUE),"Yes")</f>
        <v>No</v>
      </c>
    </row>
    <row r="536" spans="1:13" x14ac:dyDescent="0.2">
      <c r="A536">
        <v>535</v>
      </c>
      <c r="B536" t="s">
        <v>74</v>
      </c>
      <c r="C536" s="5">
        <v>45396</v>
      </c>
      <c r="D536" t="s">
        <v>75</v>
      </c>
      <c r="E536" t="s">
        <v>76</v>
      </c>
      <c r="F536" t="s">
        <v>26</v>
      </c>
      <c r="G536" t="s">
        <v>22</v>
      </c>
      <c r="H536">
        <v>3</v>
      </c>
      <c r="I536" s="7">
        <v>0</v>
      </c>
      <c r="J536">
        <v>134.85</v>
      </c>
      <c r="K536" t="str">
        <f>PROPER('Original Data'!K536)</f>
        <v>Debit Card</v>
      </c>
      <c r="L536" t="s">
        <v>28</v>
      </c>
      <c r="M536" t="str" cm="1">
        <f t="array" ref="M536">_xlfn.IFS(OR('Original Data'!M536=0,'Original Data'!M536="No",'Original Data'!M536=FALSE),"No",OR('Original Data'!M536=1,'Original Data'!M536="Yes",'Original Data'!M536=TRUE),"Yes")</f>
        <v>No</v>
      </c>
    </row>
    <row r="537" spans="1:13" x14ac:dyDescent="0.2">
      <c r="A537">
        <v>536</v>
      </c>
      <c r="B537" t="s">
        <v>56</v>
      </c>
      <c r="C537" s="5">
        <v>45541</v>
      </c>
      <c r="D537" t="s">
        <v>57</v>
      </c>
      <c r="E537" t="s">
        <v>48</v>
      </c>
      <c r="F537" t="s">
        <v>16</v>
      </c>
      <c r="G537" t="s">
        <v>17</v>
      </c>
      <c r="H537">
        <v>5</v>
      </c>
      <c r="I537" s="7">
        <v>0</v>
      </c>
      <c r="J537">
        <v>425</v>
      </c>
      <c r="K537" t="str">
        <f>PROPER('Original Data'!K537)</f>
        <v>Credit Card</v>
      </c>
      <c r="L537" t="s">
        <v>30</v>
      </c>
      <c r="M537" t="str" cm="1">
        <f t="array" ref="M537">_xlfn.IFS(OR('Original Data'!M537=0,'Original Data'!M537="No",'Original Data'!M537=FALSE),"No",OR('Original Data'!M537=1,'Original Data'!M537="Yes",'Original Data'!M537=TRUE),"Yes")</f>
        <v>Yes</v>
      </c>
    </row>
    <row r="538" spans="1:13" x14ac:dyDescent="0.2">
      <c r="A538">
        <v>537</v>
      </c>
      <c r="B538" t="s">
        <v>83</v>
      </c>
      <c r="C538" s="5">
        <v>45526</v>
      </c>
      <c r="D538" t="s">
        <v>84</v>
      </c>
      <c r="E538" t="s">
        <v>48</v>
      </c>
      <c r="F538" t="s">
        <v>40</v>
      </c>
      <c r="G538" t="s">
        <v>17</v>
      </c>
      <c r="H538">
        <v>1</v>
      </c>
      <c r="I538" s="7">
        <v>0.15</v>
      </c>
      <c r="J538">
        <v>42.46</v>
      </c>
      <c r="K538" t="s">
        <v>90</v>
      </c>
      <c r="L538" t="s">
        <v>23</v>
      </c>
      <c r="M538" t="str" cm="1">
        <f t="array" ref="M538">_xlfn.IFS(OR('Original Data'!M538=0,'Original Data'!M538="No",'Original Data'!M538=FALSE),"No",OR('Original Data'!M538=1,'Original Data'!M538="Yes",'Original Data'!M538=TRUE),"Yes")</f>
        <v>No</v>
      </c>
    </row>
    <row r="539" spans="1:13" x14ac:dyDescent="0.2">
      <c r="A539">
        <v>538</v>
      </c>
      <c r="B539" t="s">
        <v>19</v>
      </c>
      <c r="C539" s="5">
        <v>45067</v>
      </c>
      <c r="D539" t="s">
        <v>20</v>
      </c>
      <c r="E539" t="s">
        <v>15</v>
      </c>
      <c r="F539" t="s">
        <v>53</v>
      </c>
      <c r="G539" t="s">
        <v>54</v>
      </c>
      <c r="H539">
        <v>4</v>
      </c>
      <c r="I539" s="7">
        <v>0.05</v>
      </c>
      <c r="J539">
        <v>341.81</v>
      </c>
      <c r="K539" t="str">
        <f>PROPER('Original Data'!K539)</f>
        <v>Credit Card</v>
      </c>
      <c r="L539" t="s">
        <v>55</v>
      </c>
      <c r="M539" t="str" cm="1">
        <f t="array" ref="M539">_xlfn.IFS(OR('Original Data'!M539=0,'Original Data'!M539="No",'Original Data'!M539=FALSE),"No",OR('Original Data'!M539=1,'Original Data'!M539="Yes",'Original Data'!M539=TRUE),"Yes")</f>
        <v>Yes</v>
      </c>
    </row>
    <row r="540" spans="1:13" x14ac:dyDescent="0.2">
      <c r="A540">
        <v>539</v>
      </c>
      <c r="B540" t="s">
        <v>61</v>
      </c>
      <c r="C540" s="5">
        <v>45351</v>
      </c>
      <c r="D540" t="s">
        <v>62</v>
      </c>
      <c r="E540" t="s">
        <v>33</v>
      </c>
      <c r="F540" t="s">
        <v>40</v>
      </c>
      <c r="G540" t="s">
        <v>17</v>
      </c>
      <c r="H540">
        <v>3</v>
      </c>
      <c r="I540" s="7">
        <v>0.15</v>
      </c>
      <c r="J540">
        <v>89.22</v>
      </c>
      <c r="K540" t="s">
        <v>90</v>
      </c>
      <c r="M540" t="str" cm="1">
        <f t="array" ref="M540">_xlfn.IFS(OR('Original Data'!M540=0,'Original Data'!M540="No",'Original Data'!M540=FALSE),"No",OR('Original Data'!M540=1,'Original Data'!M540="Yes",'Original Data'!M540=TRUE),"Yes")</f>
        <v>No</v>
      </c>
    </row>
    <row r="541" spans="1:13" x14ac:dyDescent="0.2">
      <c r="A541">
        <v>540</v>
      </c>
      <c r="B541" t="s">
        <v>19</v>
      </c>
      <c r="C541" s="5">
        <v>45379</v>
      </c>
      <c r="D541" t="s">
        <v>20</v>
      </c>
      <c r="E541" t="s">
        <v>15</v>
      </c>
      <c r="G541" t="s">
        <v>25</v>
      </c>
      <c r="H541">
        <v>5</v>
      </c>
      <c r="I541" s="7">
        <v>0.2</v>
      </c>
      <c r="J541">
        <v>359.8</v>
      </c>
      <c r="K541" t="str">
        <f>PROPER('Original Data'!K541)</f>
        <v>Debit Card</v>
      </c>
      <c r="L541" t="s">
        <v>49</v>
      </c>
      <c r="M541" t="str" cm="1">
        <f t="array" ref="M541">_xlfn.IFS(OR('Original Data'!M541=0,'Original Data'!M541="No",'Original Data'!M541=FALSE),"No",OR('Original Data'!M541=1,'Original Data'!M541="Yes",'Original Data'!M541=TRUE),"Yes")</f>
        <v>Yes</v>
      </c>
    </row>
    <row r="542" spans="1:13" x14ac:dyDescent="0.2">
      <c r="A542">
        <v>541</v>
      </c>
      <c r="B542" t="s">
        <v>19</v>
      </c>
      <c r="C542" s="5">
        <v>45405</v>
      </c>
      <c r="D542" t="s">
        <v>20</v>
      </c>
      <c r="E542" t="s">
        <v>15</v>
      </c>
      <c r="F542" t="s">
        <v>34</v>
      </c>
      <c r="G542" t="s">
        <v>35</v>
      </c>
      <c r="H542">
        <v>5</v>
      </c>
      <c r="I542" s="7">
        <v>0</v>
      </c>
      <c r="J542">
        <v>449.75</v>
      </c>
      <c r="K542" t="str">
        <f>PROPER('Original Data'!K542)</f>
        <v>Apple Pay</v>
      </c>
      <c r="L542" t="s">
        <v>28</v>
      </c>
      <c r="M542" t="str" cm="1">
        <f t="array" ref="M542">_xlfn.IFS(OR('Original Data'!M542=0,'Original Data'!M542="No",'Original Data'!M542=FALSE),"No",OR('Original Data'!M542=1,'Original Data'!M542="Yes",'Original Data'!M542=TRUE),"Yes")</f>
        <v>Yes</v>
      </c>
    </row>
    <row r="543" spans="1:13" x14ac:dyDescent="0.2">
      <c r="A543">
        <v>542</v>
      </c>
      <c r="B543" t="s">
        <v>42</v>
      </c>
      <c r="C543" s="5">
        <v>45409</v>
      </c>
      <c r="D543" t="s">
        <v>91</v>
      </c>
      <c r="E543" t="s">
        <v>15</v>
      </c>
      <c r="F543" t="s">
        <v>44</v>
      </c>
      <c r="H543">
        <v>3</v>
      </c>
      <c r="I543" s="7">
        <v>0.2</v>
      </c>
      <c r="J543">
        <v>309.60000000000002</v>
      </c>
      <c r="K543" t="str">
        <f>PROPER('Original Data'!K543)</f>
        <v>Debit Card</v>
      </c>
      <c r="L543" t="s">
        <v>28</v>
      </c>
      <c r="M543" t="str" cm="1">
        <f t="array" ref="M543">_xlfn.IFS(OR('Original Data'!M543=0,'Original Data'!M543="No",'Original Data'!M543=FALSE),"No",OR('Original Data'!M543=1,'Original Data'!M543="Yes",'Original Data'!M543=TRUE),"Yes")</f>
        <v>Yes</v>
      </c>
    </row>
    <row r="544" spans="1:13" x14ac:dyDescent="0.2">
      <c r="A544">
        <v>543</v>
      </c>
      <c r="B544" t="s">
        <v>50</v>
      </c>
      <c r="C544" s="5">
        <v>45316</v>
      </c>
      <c r="D544" t="s">
        <v>51</v>
      </c>
      <c r="E544" t="s">
        <v>15</v>
      </c>
      <c r="F544" t="s">
        <v>16</v>
      </c>
      <c r="G544" t="s">
        <v>17</v>
      </c>
      <c r="H544">
        <v>5</v>
      </c>
      <c r="I544" s="7">
        <v>0</v>
      </c>
      <c r="J544">
        <v>349.75</v>
      </c>
      <c r="K544" t="str">
        <f>PROPER('Original Data'!K544)</f>
        <v>Cash</v>
      </c>
      <c r="L544" t="s">
        <v>45</v>
      </c>
      <c r="M544" t="str" cm="1">
        <f t="array" ref="M544">_xlfn.IFS(OR('Original Data'!M544=0,'Original Data'!M544="No",'Original Data'!M544=FALSE),"No",OR('Original Data'!M544=1,'Original Data'!M544="Yes",'Original Data'!M544=TRUE),"Yes")</f>
        <v>No</v>
      </c>
    </row>
    <row r="545" spans="1:13" x14ac:dyDescent="0.2">
      <c r="A545">
        <v>544</v>
      </c>
      <c r="B545" t="s">
        <v>13</v>
      </c>
      <c r="C545" s="5">
        <v>45352</v>
      </c>
      <c r="D545" t="s">
        <v>14</v>
      </c>
      <c r="E545" t="s">
        <v>15</v>
      </c>
      <c r="F545" t="s">
        <v>26</v>
      </c>
      <c r="G545" t="s">
        <v>22</v>
      </c>
      <c r="H545">
        <v>5</v>
      </c>
      <c r="I545" s="7">
        <v>0.15</v>
      </c>
      <c r="J545">
        <v>84.96</v>
      </c>
      <c r="K545" t="str">
        <f>PROPER('Original Data'!K545)</f>
        <v>Gift Card</v>
      </c>
      <c r="M545" t="str" cm="1">
        <f t="array" ref="M545">_xlfn.IFS(OR('Original Data'!M545=0,'Original Data'!M545="No",'Original Data'!M545=FALSE),"No",OR('Original Data'!M545=1,'Original Data'!M545="Yes",'Original Data'!M545=TRUE),"Yes")</f>
        <v>No</v>
      </c>
    </row>
    <row r="546" spans="1:13" x14ac:dyDescent="0.2">
      <c r="A546">
        <v>545</v>
      </c>
      <c r="B546" t="s">
        <v>81</v>
      </c>
      <c r="C546" s="5">
        <v>45283</v>
      </c>
      <c r="D546" t="s">
        <v>82</v>
      </c>
      <c r="E546" t="s">
        <v>15</v>
      </c>
      <c r="F546" t="s">
        <v>21</v>
      </c>
      <c r="G546" t="s">
        <v>22</v>
      </c>
      <c r="H546">
        <v>2</v>
      </c>
      <c r="I546" s="7">
        <v>0</v>
      </c>
      <c r="J546">
        <v>159.9</v>
      </c>
      <c r="K546" t="str">
        <f>PROPER('Original Data'!K546)</f>
        <v>Cash</v>
      </c>
      <c r="L546" t="s">
        <v>28</v>
      </c>
      <c r="M546" t="str" cm="1">
        <f t="array" ref="M546">_xlfn.IFS(OR('Original Data'!M546=0,'Original Data'!M546="No",'Original Data'!M546=FALSE),"No",OR('Original Data'!M546=1,'Original Data'!M546="Yes",'Original Data'!M546=TRUE),"Yes")</f>
        <v>Yes</v>
      </c>
    </row>
    <row r="547" spans="1:13" x14ac:dyDescent="0.2">
      <c r="A547">
        <v>546</v>
      </c>
      <c r="B547" t="s">
        <v>61</v>
      </c>
      <c r="C547" s="5">
        <v>45180</v>
      </c>
      <c r="D547" t="s">
        <v>62</v>
      </c>
      <c r="E547" t="s">
        <v>33</v>
      </c>
      <c r="F547" t="s">
        <v>26</v>
      </c>
      <c r="G547" t="s">
        <v>22</v>
      </c>
      <c r="H547">
        <v>3</v>
      </c>
      <c r="I547" s="7">
        <v>0.25</v>
      </c>
      <c r="J547">
        <v>78.73</v>
      </c>
      <c r="K547" t="str">
        <f>PROPER('Original Data'!K547)</f>
        <v>Cash</v>
      </c>
      <c r="L547" t="s">
        <v>45</v>
      </c>
      <c r="M547" t="str" cm="1">
        <f t="array" ref="M547">_xlfn.IFS(OR('Original Data'!M547=0,'Original Data'!M547="No",'Original Data'!M547=FALSE),"No",OR('Original Data'!M547=1,'Original Data'!M547="Yes",'Original Data'!M547=TRUE),"Yes")</f>
        <v>No</v>
      </c>
    </row>
    <row r="548" spans="1:13" x14ac:dyDescent="0.2">
      <c r="A548">
        <v>547</v>
      </c>
      <c r="B548" t="s">
        <v>78</v>
      </c>
      <c r="C548" s="5">
        <v>45185</v>
      </c>
      <c r="D548" t="s">
        <v>79</v>
      </c>
      <c r="E548" t="s">
        <v>48</v>
      </c>
      <c r="F548" t="s">
        <v>16</v>
      </c>
      <c r="G548" t="s">
        <v>17</v>
      </c>
      <c r="H548">
        <v>2</v>
      </c>
      <c r="I548" s="7">
        <v>0.2</v>
      </c>
      <c r="J548">
        <v>63.92</v>
      </c>
      <c r="K548" t="str">
        <f>PROPER('Original Data'!K548)</f>
        <v>Gift Card</v>
      </c>
      <c r="L548" t="s">
        <v>45</v>
      </c>
      <c r="M548" t="str" cm="1">
        <f t="array" ref="M548">_xlfn.IFS(OR('Original Data'!M548=0,'Original Data'!M548="No",'Original Data'!M548=FALSE),"No",OR('Original Data'!M548=1,'Original Data'!M548="Yes",'Original Data'!M548=TRUE),"Yes")</f>
        <v>Yes</v>
      </c>
    </row>
    <row r="549" spans="1:13" x14ac:dyDescent="0.2">
      <c r="A549">
        <v>548</v>
      </c>
      <c r="B549" t="s">
        <v>46</v>
      </c>
      <c r="C549" s="5">
        <v>45141</v>
      </c>
      <c r="D549" t="str">
        <f>VLOOKUP(B549,'Original Data'!B:D,3,FALSE)</f>
        <v>Canvas Sneakers</v>
      </c>
      <c r="E549" t="str">
        <f>_xlfn.XLOOKUP('Cleaned Data'!B192,'Original Data'!B:B,'Original Data'!E:E)</f>
        <v>Athleta</v>
      </c>
      <c r="F549" t="s">
        <v>16</v>
      </c>
      <c r="G549" t="s">
        <v>17</v>
      </c>
      <c r="H549">
        <v>5</v>
      </c>
      <c r="I549" s="7">
        <v>0.15</v>
      </c>
      <c r="J549">
        <v>212.29</v>
      </c>
      <c r="K549" t="str">
        <f>PROPER('Original Data'!K549)</f>
        <v>Cash</v>
      </c>
      <c r="L549" t="s">
        <v>45</v>
      </c>
      <c r="M549" t="s">
        <v>92</v>
      </c>
    </row>
    <row r="550" spans="1:13" x14ac:dyDescent="0.2">
      <c r="A550">
        <v>549</v>
      </c>
      <c r="B550" t="s">
        <v>85</v>
      </c>
      <c r="C550" s="5">
        <v>45647</v>
      </c>
      <c r="D550" t="s">
        <v>86</v>
      </c>
      <c r="E550" t="s">
        <v>76</v>
      </c>
      <c r="F550" t="s">
        <v>53</v>
      </c>
      <c r="G550" t="s">
        <v>54</v>
      </c>
      <c r="H550">
        <v>2</v>
      </c>
      <c r="I550" s="7">
        <v>0</v>
      </c>
      <c r="J550">
        <v>179.9</v>
      </c>
      <c r="K550" t="str">
        <f>PROPER('Original Data'!K550)</f>
        <v>Debit Card</v>
      </c>
      <c r="M550" t="str" cm="1">
        <f t="array" ref="M550">_xlfn.IFS(OR('Original Data'!M550=0,'Original Data'!M550="No",'Original Data'!M550=FALSE),"No",OR('Original Data'!M550=1,'Original Data'!M550="Yes",'Original Data'!M550=TRUE),"Yes")</f>
        <v>Yes</v>
      </c>
    </row>
    <row r="551" spans="1:13" x14ac:dyDescent="0.2">
      <c r="A551">
        <v>550</v>
      </c>
      <c r="B551" t="s">
        <v>64</v>
      </c>
      <c r="C551" s="5">
        <v>45097</v>
      </c>
      <c r="D551" t="s">
        <v>65</v>
      </c>
      <c r="E551" t="s">
        <v>33</v>
      </c>
      <c r="F551" t="s">
        <v>34</v>
      </c>
      <c r="G551" t="s">
        <v>35</v>
      </c>
      <c r="H551">
        <v>4</v>
      </c>
      <c r="I551" s="7">
        <v>0.25</v>
      </c>
      <c r="J551">
        <v>224.85</v>
      </c>
      <c r="K551" t="str">
        <f>PROPER('Original Data'!K551)</f>
        <v>Apple Pay</v>
      </c>
      <c r="L551" t="s">
        <v>55</v>
      </c>
      <c r="M551" t="str" cm="1">
        <f t="array" ref="M551">_xlfn.IFS(OR('Original Data'!M551=0,'Original Data'!M551="No",'Original Data'!M551=FALSE),"No",OR('Original Data'!M551=1,'Original Data'!M551="Yes",'Original Data'!M551=TRUE),"Yes")</f>
        <v>No</v>
      </c>
    </row>
    <row r="552" spans="1:13" x14ac:dyDescent="0.2">
      <c r="A552">
        <v>551</v>
      </c>
      <c r="B552" t="s">
        <v>64</v>
      </c>
      <c r="C552" s="5">
        <v>45461</v>
      </c>
      <c r="D552" t="s">
        <v>65</v>
      </c>
      <c r="E552" t="s">
        <v>33</v>
      </c>
      <c r="F552" t="s">
        <v>26</v>
      </c>
      <c r="G552" t="s">
        <v>22</v>
      </c>
      <c r="H552">
        <v>1</v>
      </c>
      <c r="I552" s="7">
        <v>0</v>
      </c>
      <c r="J552">
        <v>74.95</v>
      </c>
      <c r="K552" t="str">
        <f>PROPER('Original Data'!K552)</f>
        <v>Debit Card</v>
      </c>
      <c r="L552" t="s">
        <v>55</v>
      </c>
      <c r="M552" t="str" cm="1">
        <f t="array" ref="M552">_xlfn.IFS(OR('Original Data'!M552=0,'Original Data'!M552="No",'Original Data'!M552=FALSE),"No",OR('Original Data'!M552=1,'Original Data'!M552="Yes",'Original Data'!M552=TRUE),"Yes")</f>
        <v>No</v>
      </c>
    </row>
    <row r="553" spans="1:13" x14ac:dyDescent="0.2">
      <c r="A553">
        <v>552</v>
      </c>
      <c r="B553" t="s">
        <v>88</v>
      </c>
      <c r="C553" s="5">
        <v>45552</v>
      </c>
      <c r="D553" t="s">
        <v>89</v>
      </c>
      <c r="E553" t="s">
        <v>33</v>
      </c>
      <c r="F553" t="s">
        <v>40</v>
      </c>
      <c r="G553" t="s">
        <v>17</v>
      </c>
      <c r="H553">
        <v>2</v>
      </c>
      <c r="I553" s="7">
        <v>0</v>
      </c>
      <c r="J553">
        <v>396</v>
      </c>
      <c r="K553" t="str">
        <f>PROPER('Original Data'!K553)</f>
        <v>Gift Card</v>
      </c>
      <c r="L553" t="s">
        <v>28</v>
      </c>
      <c r="M553" t="str" cm="1">
        <f t="array" ref="M553">_xlfn.IFS(OR('Original Data'!M553=0,'Original Data'!M553="No",'Original Data'!M553=FALSE),"No",OR('Original Data'!M553=1,'Original Data'!M553="Yes",'Original Data'!M553=TRUE),"Yes")</f>
        <v>No</v>
      </c>
    </row>
    <row r="554" spans="1:13" x14ac:dyDescent="0.2">
      <c r="A554">
        <v>553</v>
      </c>
      <c r="B554" t="s">
        <v>19</v>
      </c>
      <c r="C554" s="5">
        <v>45350</v>
      </c>
      <c r="D554" t="s">
        <v>20</v>
      </c>
      <c r="E554" t="s">
        <v>15</v>
      </c>
      <c r="F554" t="s">
        <v>53</v>
      </c>
      <c r="G554" t="s">
        <v>54</v>
      </c>
      <c r="H554">
        <v>3</v>
      </c>
      <c r="I554" s="7">
        <v>0.25</v>
      </c>
      <c r="J554">
        <v>202.39</v>
      </c>
      <c r="K554" t="s">
        <v>90</v>
      </c>
      <c r="M554" t="str" cm="1">
        <f t="array" ref="M554">_xlfn.IFS(OR('Original Data'!M554=0,'Original Data'!M554="No",'Original Data'!M554=FALSE),"No",OR('Original Data'!M554=1,'Original Data'!M554="Yes",'Original Data'!M554=TRUE),"Yes")</f>
        <v>Yes</v>
      </c>
    </row>
    <row r="555" spans="1:13" x14ac:dyDescent="0.2">
      <c r="A555">
        <v>554</v>
      </c>
      <c r="B555" t="s">
        <v>24</v>
      </c>
      <c r="C555" s="5">
        <v>45554</v>
      </c>
      <c r="D555" t="s">
        <v>87</v>
      </c>
      <c r="E555" t="s">
        <v>39</v>
      </c>
      <c r="F555" t="s">
        <v>40</v>
      </c>
      <c r="G555" t="s">
        <v>17</v>
      </c>
      <c r="H555">
        <v>2</v>
      </c>
      <c r="I555" s="7">
        <v>0.25</v>
      </c>
      <c r="J555">
        <v>67.430000000000007</v>
      </c>
      <c r="K555" t="str">
        <f>PROPER('Original Data'!K555)</f>
        <v>Apple Pay</v>
      </c>
      <c r="L555" t="s">
        <v>28</v>
      </c>
      <c r="M555" t="str" cm="1">
        <f t="array" ref="M555">_xlfn.IFS(OR('Original Data'!M555=0,'Original Data'!M555="No",'Original Data'!M555=FALSE),"No",OR('Original Data'!M555=1,'Original Data'!M555="Yes",'Original Data'!M555=TRUE),"Yes")</f>
        <v>Yes</v>
      </c>
    </row>
    <row r="556" spans="1:13" x14ac:dyDescent="0.2">
      <c r="A556">
        <v>555</v>
      </c>
      <c r="B556" t="s">
        <v>61</v>
      </c>
      <c r="C556" s="5">
        <v>45016</v>
      </c>
      <c r="D556" t="s">
        <v>62</v>
      </c>
      <c r="E556" t="s">
        <v>33</v>
      </c>
      <c r="F556" t="s">
        <v>34</v>
      </c>
      <c r="G556" t="s">
        <v>35</v>
      </c>
      <c r="H556">
        <v>5</v>
      </c>
      <c r="I556" s="7">
        <v>0</v>
      </c>
      <c r="J556">
        <v>174.95</v>
      </c>
      <c r="K556" t="str">
        <f>PROPER('Original Data'!K556)</f>
        <v>Gift Card</v>
      </c>
      <c r="L556" t="s">
        <v>45</v>
      </c>
      <c r="M556" t="str" cm="1">
        <f t="array" ref="M556">_xlfn.IFS(OR('Original Data'!M556=0,'Original Data'!M556="No",'Original Data'!M556=FALSE),"No",OR('Original Data'!M556=1,'Original Data'!M556="Yes",'Original Data'!M556=TRUE),"Yes")</f>
        <v>No</v>
      </c>
    </row>
    <row r="557" spans="1:13" x14ac:dyDescent="0.2">
      <c r="A557">
        <v>556</v>
      </c>
      <c r="B557" t="s">
        <v>37</v>
      </c>
      <c r="C557" s="5">
        <v>44956</v>
      </c>
      <c r="D557" t="s">
        <v>38</v>
      </c>
      <c r="E557" t="s">
        <v>39</v>
      </c>
      <c r="F557" t="s">
        <v>34</v>
      </c>
      <c r="G557" t="s">
        <v>35</v>
      </c>
      <c r="H557">
        <v>2</v>
      </c>
      <c r="I557" s="7">
        <v>0</v>
      </c>
      <c r="J557">
        <v>129.9</v>
      </c>
      <c r="K557" t="str">
        <f>PROPER('Original Data'!K557)</f>
        <v>Gift Card</v>
      </c>
      <c r="L557" t="s">
        <v>55</v>
      </c>
      <c r="M557" t="str" cm="1">
        <f t="array" ref="M557">_xlfn.IFS(OR('Original Data'!M557=0,'Original Data'!M557="No",'Original Data'!M557=FALSE),"No",OR('Original Data'!M557=1,'Original Data'!M557="Yes",'Original Data'!M557=TRUE),"Yes")</f>
        <v>Yes</v>
      </c>
    </row>
    <row r="558" spans="1:13" x14ac:dyDescent="0.2">
      <c r="A558">
        <v>557</v>
      </c>
      <c r="B558" t="s">
        <v>56</v>
      </c>
      <c r="C558" s="5">
        <v>45516</v>
      </c>
      <c r="D558" t="s">
        <v>57</v>
      </c>
      <c r="E558" t="s">
        <v>48</v>
      </c>
      <c r="F558" t="s">
        <v>66</v>
      </c>
      <c r="G558" t="s">
        <v>67</v>
      </c>
      <c r="H558">
        <v>4</v>
      </c>
      <c r="I558" s="7">
        <v>0</v>
      </c>
      <c r="J558">
        <v>340</v>
      </c>
      <c r="K558" t="str">
        <f>PROPER('Original Data'!K558)</f>
        <v>Debit Card</v>
      </c>
      <c r="L558" t="s">
        <v>49</v>
      </c>
      <c r="M558" t="str" cm="1">
        <f t="array" ref="M558">_xlfn.IFS(OR('Original Data'!M558=0,'Original Data'!M558="No",'Original Data'!M558=FALSE),"No",OR('Original Data'!M558=1,'Original Data'!M558="Yes",'Original Data'!M558=TRUE),"Yes")</f>
        <v>Yes</v>
      </c>
    </row>
    <row r="559" spans="1:13" x14ac:dyDescent="0.2">
      <c r="A559">
        <v>558</v>
      </c>
      <c r="B559" t="s">
        <v>19</v>
      </c>
      <c r="C559" s="5">
        <v>45016</v>
      </c>
      <c r="D559" t="s">
        <v>20</v>
      </c>
      <c r="E559" t="s">
        <v>15</v>
      </c>
      <c r="F559" t="s">
        <v>21</v>
      </c>
      <c r="G559" t="s">
        <v>22</v>
      </c>
      <c r="H559">
        <v>2</v>
      </c>
      <c r="I559" s="7">
        <v>0.1</v>
      </c>
      <c r="J559">
        <v>161.91</v>
      </c>
      <c r="K559" t="str">
        <f>PROPER('Original Data'!K559)</f>
        <v>Cash</v>
      </c>
      <c r="L559" t="s">
        <v>55</v>
      </c>
      <c r="M559" t="str" cm="1">
        <f t="array" ref="M559">_xlfn.IFS(OR('Original Data'!M559=0,'Original Data'!M559="No",'Original Data'!M559=FALSE),"No",OR('Original Data'!M559=1,'Original Data'!M559="Yes",'Original Data'!M559=TRUE),"Yes")</f>
        <v>Yes</v>
      </c>
    </row>
    <row r="560" spans="1:13" x14ac:dyDescent="0.2">
      <c r="A560">
        <v>559</v>
      </c>
      <c r="B560" t="s">
        <v>50</v>
      </c>
      <c r="C560" s="5">
        <v>45254</v>
      </c>
      <c r="D560" t="s">
        <v>51</v>
      </c>
      <c r="E560" t="s">
        <v>15</v>
      </c>
      <c r="F560" t="s">
        <v>26</v>
      </c>
      <c r="G560" t="s">
        <v>22</v>
      </c>
      <c r="H560">
        <v>1</v>
      </c>
      <c r="I560" s="7">
        <v>0.05</v>
      </c>
      <c r="J560">
        <v>66.45</v>
      </c>
      <c r="K560" t="str">
        <f>PROPER('Original Data'!K560)</f>
        <v>Gift Card</v>
      </c>
      <c r="M560" t="str" cm="1">
        <f t="array" ref="M560">_xlfn.IFS(OR('Original Data'!M560=0,'Original Data'!M560="No",'Original Data'!M560=FALSE),"No",OR('Original Data'!M560=1,'Original Data'!M560="Yes",'Original Data'!M560=TRUE),"Yes")</f>
        <v>No</v>
      </c>
    </row>
    <row r="561" spans="1:13" x14ac:dyDescent="0.2">
      <c r="A561">
        <v>560</v>
      </c>
      <c r="B561" t="s">
        <v>61</v>
      </c>
      <c r="C561" s="5">
        <v>45393</v>
      </c>
      <c r="D561" t="s">
        <v>62</v>
      </c>
      <c r="E561" t="s">
        <v>33</v>
      </c>
      <c r="F561" t="s">
        <v>40</v>
      </c>
      <c r="G561" t="s">
        <v>17</v>
      </c>
      <c r="H561">
        <v>3</v>
      </c>
      <c r="I561" s="7">
        <v>0.05</v>
      </c>
      <c r="J561">
        <v>99.72</v>
      </c>
      <c r="K561" t="str">
        <f>PROPER('Original Data'!K561)</f>
        <v>Apple Pay</v>
      </c>
      <c r="L561" t="s">
        <v>41</v>
      </c>
      <c r="M561" t="str" cm="1">
        <f t="array" ref="M561">_xlfn.IFS(OR('Original Data'!M561=0,'Original Data'!M561="No",'Original Data'!M561=FALSE),"No",OR('Original Data'!M561=1,'Original Data'!M561="Yes",'Original Data'!M561=TRUE),"Yes")</f>
        <v>No</v>
      </c>
    </row>
    <row r="562" spans="1:13" x14ac:dyDescent="0.2">
      <c r="A562">
        <v>561</v>
      </c>
      <c r="B562" t="s">
        <v>64</v>
      </c>
      <c r="C562" s="5">
        <v>45225</v>
      </c>
      <c r="D562" t="s">
        <v>65</v>
      </c>
      <c r="E562" t="s">
        <v>33</v>
      </c>
      <c r="F562" t="s">
        <v>16</v>
      </c>
      <c r="G562" t="s">
        <v>17</v>
      </c>
      <c r="H562">
        <v>5</v>
      </c>
      <c r="I562" s="7">
        <v>0.25</v>
      </c>
      <c r="J562">
        <v>281.06</v>
      </c>
      <c r="K562" t="str">
        <f>PROPER('Original Data'!K562)</f>
        <v>Gift Card</v>
      </c>
      <c r="L562" t="s">
        <v>63</v>
      </c>
      <c r="M562" t="str" cm="1">
        <f t="array" ref="M562">_xlfn.IFS(OR('Original Data'!M562=0,'Original Data'!M562="No",'Original Data'!M562=FALSE),"No",OR('Original Data'!M562=1,'Original Data'!M562="Yes",'Original Data'!M562=TRUE),"Yes")</f>
        <v>No</v>
      </c>
    </row>
    <row r="563" spans="1:13" x14ac:dyDescent="0.2">
      <c r="A563">
        <v>562</v>
      </c>
      <c r="B563" t="s">
        <v>58</v>
      </c>
      <c r="C563" s="5">
        <v>45602</v>
      </c>
      <c r="D563" t="s">
        <v>59</v>
      </c>
      <c r="E563" t="s">
        <v>15</v>
      </c>
      <c r="F563" t="s">
        <v>34</v>
      </c>
      <c r="G563" t="s">
        <v>35</v>
      </c>
      <c r="H563">
        <v>2</v>
      </c>
      <c r="I563" s="7">
        <v>0.25</v>
      </c>
      <c r="J563">
        <v>89.93</v>
      </c>
      <c r="K563" t="str">
        <f>PROPER('Original Data'!K563)</f>
        <v>Cash</v>
      </c>
      <c r="L563" t="s">
        <v>28</v>
      </c>
      <c r="M563" t="str" cm="1">
        <f t="array" ref="M563">_xlfn.IFS(OR('Original Data'!M563=0,'Original Data'!M563="No",'Original Data'!M563=FALSE),"No",OR('Original Data'!M563=1,'Original Data'!M563="Yes",'Original Data'!M563=TRUE),"Yes")</f>
        <v>Yes</v>
      </c>
    </row>
    <row r="564" spans="1:13" x14ac:dyDescent="0.2">
      <c r="A564">
        <v>563</v>
      </c>
      <c r="B564" t="s">
        <v>50</v>
      </c>
      <c r="C564" s="5">
        <v>45258</v>
      </c>
      <c r="D564" t="s">
        <v>51</v>
      </c>
      <c r="E564" t="s">
        <v>15</v>
      </c>
      <c r="F564" t="s">
        <v>53</v>
      </c>
      <c r="G564" t="s">
        <v>54</v>
      </c>
      <c r="H564">
        <v>2</v>
      </c>
      <c r="I564" s="7">
        <v>0.2</v>
      </c>
      <c r="J564">
        <v>111.92</v>
      </c>
      <c r="K564" t="str">
        <f>PROPER('Original Data'!K564)</f>
        <v>Debit Card</v>
      </c>
      <c r="L564" t="s">
        <v>55</v>
      </c>
      <c r="M564" t="str" cm="1">
        <f t="array" ref="M564">_xlfn.IFS(OR('Original Data'!M564=0,'Original Data'!M564="No",'Original Data'!M564=FALSE),"No",OR('Original Data'!M564=1,'Original Data'!M564="Yes",'Original Data'!M564=TRUE),"Yes")</f>
        <v>No</v>
      </c>
    </row>
    <row r="565" spans="1:13" x14ac:dyDescent="0.2">
      <c r="A565">
        <v>564</v>
      </c>
      <c r="B565" t="s">
        <v>50</v>
      </c>
      <c r="C565" s="5">
        <v>45127</v>
      </c>
      <c r="D565" t="s">
        <v>51</v>
      </c>
      <c r="E565" t="s">
        <v>15</v>
      </c>
      <c r="F565" t="s">
        <v>44</v>
      </c>
      <c r="H565">
        <v>2</v>
      </c>
      <c r="I565" s="7">
        <v>0.05</v>
      </c>
      <c r="J565">
        <v>132.9</v>
      </c>
      <c r="K565" t="str">
        <f>PROPER('Original Data'!K565)</f>
        <v>Apple Pay</v>
      </c>
      <c r="L565" t="s">
        <v>63</v>
      </c>
      <c r="M565" t="str" cm="1">
        <f t="array" ref="M565">_xlfn.IFS(OR('Original Data'!M565=0,'Original Data'!M565="No",'Original Data'!M565=FALSE),"No",OR('Original Data'!M565=1,'Original Data'!M565="Yes",'Original Data'!M565=TRUE),"Yes")</f>
        <v>No</v>
      </c>
    </row>
    <row r="566" spans="1:13" x14ac:dyDescent="0.2">
      <c r="A566">
        <v>565</v>
      </c>
      <c r="B566" t="s">
        <v>58</v>
      </c>
      <c r="C566" s="5">
        <v>44980</v>
      </c>
      <c r="D566" t="s">
        <v>59</v>
      </c>
      <c r="E566" t="s">
        <v>15</v>
      </c>
      <c r="F566" t="s">
        <v>66</v>
      </c>
      <c r="G566" t="s">
        <v>67</v>
      </c>
      <c r="H566">
        <v>1</v>
      </c>
      <c r="I566" s="7">
        <v>0.15</v>
      </c>
      <c r="J566">
        <v>50.96</v>
      </c>
      <c r="K566" t="str">
        <f>PROPER('Original Data'!K566)</f>
        <v>Debit Card</v>
      </c>
      <c r="M566" t="str" cm="1">
        <f t="array" ref="M566">_xlfn.IFS(OR('Original Data'!M566=0,'Original Data'!M566="No",'Original Data'!M566=FALSE),"No",OR('Original Data'!M566=1,'Original Data'!M566="Yes",'Original Data'!M566=TRUE),"Yes")</f>
        <v>Yes</v>
      </c>
    </row>
    <row r="567" spans="1:13" x14ac:dyDescent="0.2">
      <c r="A567">
        <v>566</v>
      </c>
      <c r="B567" t="s">
        <v>50</v>
      </c>
      <c r="C567" s="5">
        <v>45613</v>
      </c>
      <c r="D567" t="s">
        <v>51</v>
      </c>
      <c r="E567" t="s">
        <v>15</v>
      </c>
      <c r="F567" t="s">
        <v>44</v>
      </c>
      <c r="H567">
        <v>5</v>
      </c>
      <c r="I567" s="7">
        <v>0</v>
      </c>
      <c r="J567">
        <v>349.75</v>
      </c>
      <c r="K567" t="str">
        <f>PROPER('Original Data'!K567)</f>
        <v>Apple Pay</v>
      </c>
      <c r="M567" t="str" cm="1">
        <f t="array" ref="M567">_xlfn.IFS(OR('Original Data'!M567=0,'Original Data'!M567="No",'Original Data'!M567=FALSE),"No",OR('Original Data'!M567=1,'Original Data'!M567="Yes",'Original Data'!M567=TRUE),"Yes")</f>
        <v>No</v>
      </c>
    </row>
    <row r="568" spans="1:13" x14ac:dyDescent="0.2">
      <c r="A568">
        <v>567</v>
      </c>
      <c r="B568" t="s">
        <v>83</v>
      </c>
      <c r="C568" s="5">
        <v>45513</v>
      </c>
      <c r="D568" t="s">
        <v>84</v>
      </c>
      <c r="E568" t="s">
        <v>48</v>
      </c>
      <c r="F568" t="s">
        <v>16</v>
      </c>
      <c r="G568" t="s">
        <v>17</v>
      </c>
      <c r="H568">
        <v>5</v>
      </c>
      <c r="I568" s="7">
        <v>0.05</v>
      </c>
      <c r="J568">
        <v>237.26</v>
      </c>
      <c r="K568" t="s">
        <v>90</v>
      </c>
      <c r="L568" t="s">
        <v>23</v>
      </c>
      <c r="M568" t="str" cm="1">
        <f t="array" ref="M568">_xlfn.IFS(OR('Original Data'!M568=0,'Original Data'!M568="No",'Original Data'!M568=FALSE),"No",OR('Original Data'!M568=1,'Original Data'!M568="Yes",'Original Data'!M568=TRUE),"Yes")</f>
        <v>No</v>
      </c>
    </row>
    <row r="569" spans="1:13" x14ac:dyDescent="0.2">
      <c r="A569">
        <v>568</v>
      </c>
      <c r="B569" t="s">
        <v>46</v>
      </c>
      <c r="C569" s="5">
        <v>45644</v>
      </c>
      <c r="D569" t="s">
        <v>47</v>
      </c>
      <c r="E569" t="s">
        <v>48</v>
      </c>
      <c r="F569" t="s">
        <v>66</v>
      </c>
      <c r="G569" t="s">
        <v>67</v>
      </c>
      <c r="H569">
        <v>3</v>
      </c>
      <c r="I569" s="7">
        <v>0</v>
      </c>
      <c r="J569">
        <v>149.85</v>
      </c>
      <c r="K569" t="str">
        <f>PROPER('Original Data'!K569)</f>
        <v>Gift Card</v>
      </c>
      <c r="L569" t="s">
        <v>45</v>
      </c>
      <c r="M569" t="str" cm="1">
        <f t="array" ref="M569">_xlfn.IFS(OR('Original Data'!M569=0,'Original Data'!M569="No",'Original Data'!M569=FALSE),"No",OR('Original Data'!M569=1,'Original Data'!M569="Yes",'Original Data'!M569=TRUE),"Yes")</f>
        <v>No</v>
      </c>
    </row>
    <row r="570" spans="1:13" x14ac:dyDescent="0.2">
      <c r="A570">
        <v>569</v>
      </c>
      <c r="B570" t="s">
        <v>37</v>
      </c>
      <c r="C570" s="5">
        <v>45495</v>
      </c>
      <c r="D570" t="s">
        <v>38</v>
      </c>
      <c r="E570" t="s">
        <v>39</v>
      </c>
      <c r="F570" t="s">
        <v>16</v>
      </c>
      <c r="G570" t="s">
        <v>17</v>
      </c>
      <c r="H570">
        <v>1</v>
      </c>
      <c r="I570" s="7">
        <v>0</v>
      </c>
      <c r="J570">
        <v>64.95</v>
      </c>
      <c r="K570" t="str">
        <f>PROPER('Original Data'!K570)</f>
        <v>Credit Card</v>
      </c>
      <c r="L570" t="s">
        <v>45</v>
      </c>
      <c r="M570" t="str" cm="1">
        <f t="array" ref="M570">_xlfn.IFS(OR('Original Data'!M570=0,'Original Data'!M570="No",'Original Data'!M570=FALSE),"No",OR('Original Data'!M570=1,'Original Data'!M570="Yes",'Original Data'!M570=TRUE),"Yes")</f>
        <v>Yes</v>
      </c>
    </row>
    <row r="571" spans="1:13" x14ac:dyDescent="0.2">
      <c r="A571">
        <v>570</v>
      </c>
      <c r="B571" t="s">
        <v>42</v>
      </c>
      <c r="C571" s="5">
        <v>45102</v>
      </c>
      <c r="D571" t="s">
        <v>91</v>
      </c>
      <c r="E571" t="s">
        <v>15</v>
      </c>
      <c r="F571" t="s">
        <v>26</v>
      </c>
      <c r="G571" t="s">
        <v>22</v>
      </c>
      <c r="H571">
        <v>1</v>
      </c>
      <c r="I571" s="7">
        <v>0</v>
      </c>
      <c r="J571">
        <v>129</v>
      </c>
      <c r="K571" t="s">
        <v>90</v>
      </c>
      <c r="L571" t="s">
        <v>49</v>
      </c>
      <c r="M571" t="str" cm="1">
        <f t="array" ref="M571">_xlfn.IFS(OR('Original Data'!M571=0,'Original Data'!M571="No",'Original Data'!M571=FALSE),"No",OR('Original Data'!M571=1,'Original Data'!M571="Yes",'Original Data'!M571=TRUE),"Yes")</f>
        <v>Yes</v>
      </c>
    </row>
    <row r="572" spans="1:13" x14ac:dyDescent="0.2">
      <c r="A572">
        <v>571</v>
      </c>
      <c r="B572" t="s">
        <v>71</v>
      </c>
      <c r="C572" s="5">
        <v>44972</v>
      </c>
      <c r="D572" t="s">
        <v>72</v>
      </c>
      <c r="E572" t="s">
        <v>33</v>
      </c>
      <c r="G572" t="s">
        <v>25</v>
      </c>
      <c r="H572">
        <v>5</v>
      </c>
      <c r="I572" s="7">
        <v>0.05</v>
      </c>
      <c r="J572">
        <v>284.76</v>
      </c>
      <c r="K572" t="str">
        <f>PROPER('Original Data'!K572)</f>
        <v>Apple Pay</v>
      </c>
      <c r="L572" t="s">
        <v>55</v>
      </c>
      <c r="M572" t="str" cm="1">
        <f t="array" ref="M572">_xlfn.IFS(OR('Original Data'!M572=0,'Original Data'!M572="No",'Original Data'!M572=FALSE),"No",OR('Original Data'!M572=1,'Original Data'!M572="Yes",'Original Data'!M572=TRUE),"Yes")</f>
        <v>Yes</v>
      </c>
    </row>
    <row r="573" spans="1:13" x14ac:dyDescent="0.2">
      <c r="A573">
        <v>572</v>
      </c>
      <c r="B573" t="s">
        <v>61</v>
      </c>
      <c r="C573" s="5">
        <v>45188</v>
      </c>
      <c r="D573" t="s">
        <v>62</v>
      </c>
      <c r="E573" t="s">
        <v>33</v>
      </c>
      <c r="F573" t="s">
        <v>53</v>
      </c>
      <c r="G573" t="s">
        <v>54</v>
      </c>
      <c r="H573">
        <v>5</v>
      </c>
      <c r="I573" s="7">
        <v>0.2</v>
      </c>
      <c r="J573">
        <v>139.96</v>
      </c>
      <c r="K573" t="s">
        <v>90</v>
      </c>
      <c r="L573" t="s">
        <v>55</v>
      </c>
      <c r="M573" t="str" cm="1">
        <f t="array" ref="M573">_xlfn.IFS(OR('Original Data'!M573=0,'Original Data'!M573="No",'Original Data'!M573=FALSE),"No",OR('Original Data'!M573=1,'Original Data'!M573="Yes",'Original Data'!M573=TRUE),"Yes")</f>
        <v>No</v>
      </c>
    </row>
    <row r="574" spans="1:13" x14ac:dyDescent="0.2">
      <c r="A574">
        <v>573</v>
      </c>
      <c r="B574" t="s">
        <v>64</v>
      </c>
      <c r="C574" s="5">
        <v>45084</v>
      </c>
      <c r="D574" t="s">
        <v>65</v>
      </c>
      <c r="E574" t="s">
        <v>33</v>
      </c>
      <c r="F574" t="s">
        <v>16</v>
      </c>
      <c r="G574" t="s">
        <v>17</v>
      </c>
      <c r="H574">
        <v>2</v>
      </c>
      <c r="I574" s="7">
        <v>0.15</v>
      </c>
      <c r="J574">
        <v>127.42</v>
      </c>
      <c r="K574" t="str">
        <f>PROPER('Original Data'!K574)</f>
        <v>Gift Card</v>
      </c>
      <c r="L574" t="s">
        <v>45</v>
      </c>
      <c r="M574" t="str" cm="1">
        <f t="array" ref="M574">_xlfn.IFS(OR('Original Data'!M574=0,'Original Data'!M574="No",'Original Data'!M574=FALSE),"No",OR('Original Data'!M574=1,'Original Data'!M574="Yes",'Original Data'!M574=TRUE),"Yes")</f>
        <v>No</v>
      </c>
    </row>
    <row r="575" spans="1:13" x14ac:dyDescent="0.2">
      <c r="A575">
        <v>574</v>
      </c>
      <c r="B575" t="s">
        <v>88</v>
      </c>
      <c r="C575" s="5">
        <v>45076</v>
      </c>
      <c r="D575" t="s">
        <v>89</v>
      </c>
      <c r="E575" t="s">
        <v>33</v>
      </c>
      <c r="F575" t="s">
        <v>16</v>
      </c>
      <c r="G575" t="s">
        <v>17</v>
      </c>
      <c r="H575">
        <v>1</v>
      </c>
      <c r="I575" s="7">
        <v>0.15</v>
      </c>
      <c r="J575">
        <v>168.3</v>
      </c>
      <c r="K575" t="str">
        <f>PROPER('Original Data'!K575)</f>
        <v>Cash</v>
      </c>
      <c r="L575" t="s">
        <v>49</v>
      </c>
      <c r="M575" t="str" cm="1">
        <f t="array" ref="M575">_xlfn.IFS(OR('Original Data'!M575=0,'Original Data'!M575="No",'Original Data'!M575=FALSE),"No",OR('Original Data'!M575=1,'Original Data'!M575="Yes",'Original Data'!M575=TRUE),"Yes")</f>
        <v>No</v>
      </c>
    </row>
    <row r="576" spans="1:13" x14ac:dyDescent="0.2">
      <c r="A576">
        <v>575</v>
      </c>
      <c r="B576" t="s">
        <v>81</v>
      </c>
      <c r="C576" s="5">
        <v>45512</v>
      </c>
      <c r="D576" t="s">
        <v>82</v>
      </c>
      <c r="E576" t="s">
        <v>15</v>
      </c>
      <c r="F576" t="s">
        <v>53</v>
      </c>
      <c r="G576" t="s">
        <v>54</v>
      </c>
      <c r="H576">
        <v>4</v>
      </c>
      <c r="I576" s="7">
        <v>0</v>
      </c>
      <c r="J576">
        <v>319.8</v>
      </c>
      <c r="K576" t="str">
        <f>PROPER('Original Data'!K576)</f>
        <v>Apple Pay</v>
      </c>
      <c r="L576" t="s">
        <v>49</v>
      </c>
      <c r="M576" t="str" cm="1">
        <f t="array" ref="M576">_xlfn.IFS(OR('Original Data'!M576=0,'Original Data'!M576="No",'Original Data'!M576=FALSE),"No",OR('Original Data'!M576=1,'Original Data'!M576="Yes",'Original Data'!M576=TRUE),"Yes")</f>
        <v>Yes</v>
      </c>
    </row>
    <row r="577" spans="1:13" x14ac:dyDescent="0.2">
      <c r="A577">
        <v>576</v>
      </c>
      <c r="B577" t="s">
        <v>83</v>
      </c>
      <c r="C577" s="5">
        <v>45630</v>
      </c>
      <c r="D577" t="s">
        <v>84</v>
      </c>
      <c r="E577" t="s">
        <v>48</v>
      </c>
      <c r="F577" t="s">
        <v>21</v>
      </c>
      <c r="G577" t="s">
        <v>22</v>
      </c>
      <c r="H577">
        <v>5</v>
      </c>
      <c r="I577" s="7">
        <v>0</v>
      </c>
      <c r="J577">
        <v>249.75</v>
      </c>
      <c r="K577" t="str">
        <f>PROPER('Original Data'!K577)</f>
        <v>Credit Card</v>
      </c>
      <c r="L577" t="s">
        <v>30</v>
      </c>
      <c r="M577" t="str" cm="1">
        <f t="array" ref="M577">_xlfn.IFS(OR('Original Data'!M577=0,'Original Data'!M577="No",'Original Data'!M577=FALSE),"No",OR('Original Data'!M577=1,'Original Data'!M577="Yes",'Original Data'!M577=TRUE),"Yes")</f>
        <v>No</v>
      </c>
    </row>
    <row r="578" spans="1:13" x14ac:dyDescent="0.2">
      <c r="A578">
        <v>577</v>
      </c>
      <c r="B578" t="s">
        <v>71</v>
      </c>
      <c r="C578" s="5">
        <v>45289</v>
      </c>
      <c r="D578" t="s">
        <v>72</v>
      </c>
      <c r="E578" t="s">
        <v>33</v>
      </c>
      <c r="F578" t="s">
        <v>34</v>
      </c>
      <c r="G578" t="s">
        <v>35</v>
      </c>
      <c r="H578">
        <v>4</v>
      </c>
      <c r="I578" s="7">
        <v>0.25</v>
      </c>
      <c r="J578">
        <v>179.85</v>
      </c>
      <c r="K578" t="str">
        <f>PROPER('Original Data'!K578)</f>
        <v>Gift Card</v>
      </c>
      <c r="L578" t="s">
        <v>45</v>
      </c>
      <c r="M578" t="str" cm="1">
        <f t="array" ref="M578">_xlfn.IFS(OR('Original Data'!M578=0,'Original Data'!M578="No",'Original Data'!M578=FALSE),"No",OR('Original Data'!M578=1,'Original Data'!M578="Yes",'Original Data'!M578=TRUE),"Yes")</f>
        <v>Yes</v>
      </c>
    </row>
    <row r="579" spans="1:13" x14ac:dyDescent="0.2">
      <c r="A579">
        <v>578</v>
      </c>
      <c r="B579" t="s">
        <v>85</v>
      </c>
      <c r="C579" s="5">
        <v>45172</v>
      </c>
      <c r="D579" t="s">
        <v>86</v>
      </c>
      <c r="E579" t="s">
        <v>76</v>
      </c>
      <c r="F579" t="s">
        <v>53</v>
      </c>
      <c r="G579" t="s">
        <v>54</v>
      </c>
      <c r="H579">
        <v>3</v>
      </c>
      <c r="I579" s="7">
        <v>0</v>
      </c>
      <c r="J579">
        <v>269.85000000000002</v>
      </c>
      <c r="K579" t="str">
        <f>PROPER('Original Data'!K579)</f>
        <v>Credit Card</v>
      </c>
      <c r="L579" t="s">
        <v>55</v>
      </c>
      <c r="M579" t="str" cm="1">
        <f t="array" ref="M579">_xlfn.IFS(OR('Original Data'!M579=0,'Original Data'!M579="No",'Original Data'!M579=FALSE),"No",OR('Original Data'!M579=1,'Original Data'!M579="Yes",'Original Data'!M579=TRUE),"Yes")</f>
        <v>Yes</v>
      </c>
    </row>
    <row r="580" spans="1:13" x14ac:dyDescent="0.2">
      <c r="A580">
        <v>579</v>
      </c>
      <c r="B580" t="s">
        <v>78</v>
      </c>
      <c r="C580" s="5">
        <v>45628</v>
      </c>
      <c r="D580" t="s">
        <v>79</v>
      </c>
      <c r="E580" t="s">
        <v>48</v>
      </c>
      <c r="F580" t="s">
        <v>21</v>
      </c>
      <c r="G580" t="s">
        <v>22</v>
      </c>
      <c r="H580">
        <v>2</v>
      </c>
      <c r="I580" s="7">
        <v>0.25</v>
      </c>
      <c r="J580">
        <v>59.92</v>
      </c>
      <c r="K580" t="s">
        <v>90</v>
      </c>
      <c r="L580" t="s">
        <v>41</v>
      </c>
      <c r="M580" t="str" cm="1">
        <f t="array" ref="M580">_xlfn.IFS(OR('Original Data'!M580=0,'Original Data'!M580="No",'Original Data'!M580=FALSE),"No",OR('Original Data'!M580=1,'Original Data'!M580="Yes",'Original Data'!M580=TRUE),"Yes")</f>
        <v>Yes</v>
      </c>
    </row>
    <row r="581" spans="1:13" x14ac:dyDescent="0.2">
      <c r="A581">
        <v>580</v>
      </c>
      <c r="B581" t="s">
        <v>19</v>
      </c>
      <c r="C581" s="5">
        <v>45617</v>
      </c>
      <c r="D581" t="str">
        <f>VLOOKUP(B581,'Original Data'!B:D,3,FALSE)</f>
        <v>Denim Jacket</v>
      </c>
      <c r="E581" t="str">
        <f>_xlfn.XLOOKUP('Cleaned Data'!B443,'Original Data'!B:B,'Original Data'!E:E)</f>
        <v>GAP</v>
      </c>
      <c r="F581" t="s">
        <v>40</v>
      </c>
      <c r="G581" t="s">
        <v>17</v>
      </c>
      <c r="H581">
        <v>5</v>
      </c>
      <c r="I581" s="7">
        <v>0</v>
      </c>
      <c r="J581">
        <v>449.75</v>
      </c>
      <c r="K581" t="str">
        <f>PROPER('Original Data'!K581)</f>
        <v>Debit Card</v>
      </c>
      <c r="L581" t="s">
        <v>41</v>
      </c>
      <c r="M581" t="s">
        <v>92</v>
      </c>
    </row>
    <row r="582" spans="1:13" x14ac:dyDescent="0.2">
      <c r="A582">
        <v>581</v>
      </c>
      <c r="B582" t="s">
        <v>88</v>
      </c>
      <c r="C582" s="5">
        <v>45421</v>
      </c>
      <c r="D582" t="s">
        <v>89</v>
      </c>
      <c r="E582" t="s">
        <v>33</v>
      </c>
      <c r="F582" t="s">
        <v>16</v>
      </c>
      <c r="G582" t="s">
        <v>17</v>
      </c>
      <c r="H582">
        <v>2</v>
      </c>
      <c r="I582" s="7">
        <v>0</v>
      </c>
      <c r="J582">
        <v>396</v>
      </c>
      <c r="K582" t="str">
        <f>PROPER('Original Data'!K582)</f>
        <v>Cash</v>
      </c>
      <c r="L582" t="s">
        <v>30</v>
      </c>
      <c r="M582" t="str" cm="1">
        <f t="array" ref="M582">_xlfn.IFS(OR('Original Data'!M582=0,'Original Data'!M582="No",'Original Data'!M582=FALSE),"No",OR('Original Data'!M582=1,'Original Data'!M582="Yes",'Original Data'!M582=TRUE),"Yes")</f>
        <v>No</v>
      </c>
    </row>
    <row r="583" spans="1:13" x14ac:dyDescent="0.2">
      <c r="A583">
        <v>582</v>
      </c>
      <c r="B583" t="s">
        <v>24</v>
      </c>
      <c r="C583" s="5">
        <v>44933</v>
      </c>
      <c r="D583" t="s">
        <v>87</v>
      </c>
      <c r="E583" t="s">
        <v>39</v>
      </c>
      <c r="F583" t="s">
        <v>26</v>
      </c>
      <c r="G583" t="s">
        <v>22</v>
      </c>
      <c r="H583">
        <v>5</v>
      </c>
      <c r="I583" s="7">
        <v>0.25</v>
      </c>
      <c r="J583">
        <v>168.56</v>
      </c>
      <c r="K583" t="str">
        <f>PROPER('Original Data'!K583)</f>
        <v>Cash</v>
      </c>
      <c r="M583" t="str" cm="1">
        <f t="array" ref="M583">_xlfn.IFS(OR('Original Data'!M583=0,'Original Data'!M583="No",'Original Data'!M583=FALSE),"No",OR('Original Data'!M583=1,'Original Data'!M583="Yes",'Original Data'!M583=TRUE),"Yes")</f>
        <v>Yes</v>
      </c>
    </row>
    <row r="584" spans="1:13" x14ac:dyDescent="0.2">
      <c r="A584">
        <v>583</v>
      </c>
      <c r="B584" t="s">
        <v>42</v>
      </c>
      <c r="C584" s="5">
        <v>45426</v>
      </c>
      <c r="D584" t="s">
        <v>91</v>
      </c>
      <c r="E584" t="s">
        <v>15</v>
      </c>
      <c r="F584" t="s">
        <v>34</v>
      </c>
      <c r="G584" t="s">
        <v>35</v>
      </c>
      <c r="H584">
        <v>5</v>
      </c>
      <c r="I584" s="7">
        <v>0</v>
      </c>
      <c r="J584">
        <v>645</v>
      </c>
      <c r="K584" t="str">
        <f>PROPER('Original Data'!K584)</f>
        <v>Credit Card</v>
      </c>
      <c r="L584" t="s">
        <v>28</v>
      </c>
      <c r="M584" t="str" cm="1">
        <f t="array" ref="M584">_xlfn.IFS(OR('Original Data'!M584=0,'Original Data'!M584="No",'Original Data'!M584=FALSE),"No",OR('Original Data'!M584=1,'Original Data'!M584="Yes",'Original Data'!M584=TRUE),"Yes")</f>
        <v>Yes</v>
      </c>
    </row>
    <row r="585" spans="1:13" x14ac:dyDescent="0.2">
      <c r="A585">
        <v>584</v>
      </c>
      <c r="B585" t="s">
        <v>24</v>
      </c>
      <c r="C585" s="5">
        <v>45371</v>
      </c>
      <c r="D585" t="s">
        <v>87</v>
      </c>
      <c r="E585" t="s">
        <v>39</v>
      </c>
      <c r="F585" t="s">
        <v>16</v>
      </c>
      <c r="G585" t="s">
        <v>17</v>
      </c>
      <c r="H585">
        <v>4</v>
      </c>
      <c r="I585" s="7">
        <v>0</v>
      </c>
      <c r="J585">
        <v>179.8</v>
      </c>
      <c r="K585" t="str">
        <f>PROPER('Original Data'!K585)</f>
        <v>Cash</v>
      </c>
      <c r="L585" t="s">
        <v>45</v>
      </c>
      <c r="M585" t="str" cm="1">
        <f t="array" ref="M585">_xlfn.IFS(OR('Original Data'!M585=0,'Original Data'!M585="No",'Original Data'!M585=FALSE),"No",OR('Original Data'!M585=1,'Original Data'!M585="Yes",'Original Data'!M585=TRUE),"Yes")</f>
        <v>Yes</v>
      </c>
    </row>
    <row r="586" spans="1:13" x14ac:dyDescent="0.2">
      <c r="A586">
        <v>585</v>
      </c>
      <c r="B586" t="s">
        <v>37</v>
      </c>
      <c r="C586" s="5">
        <v>45427</v>
      </c>
      <c r="D586" t="s">
        <v>38</v>
      </c>
      <c r="E586" t="s">
        <v>39</v>
      </c>
      <c r="F586" t="s">
        <v>66</v>
      </c>
      <c r="G586" t="s">
        <v>67</v>
      </c>
      <c r="H586">
        <v>4</v>
      </c>
      <c r="I586" s="7">
        <v>0.1</v>
      </c>
      <c r="J586">
        <v>233.82</v>
      </c>
      <c r="K586" t="str">
        <f>PROPER('Original Data'!K586)</f>
        <v>Gift Card</v>
      </c>
      <c r="L586" t="s">
        <v>55</v>
      </c>
      <c r="M586" t="str" cm="1">
        <f t="array" ref="M586">_xlfn.IFS(OR('Original Data'!M586=0,'Original Data'!M586="No",'Original Data'!M586=FALSE),"No",OR('Original Data'!M586=1,'Original Data'!M586="Yes",'Original Data'!M586=TRUE),"Yes")</f>
        <v>Yes</v>
      </c>
    </row>
    <row r="587" spans="1:13" x14ac:dyDescent="0.2">
      <c r="A587">
        <v>586</v>
      </c>
      <c r="B587" t="s">
        <v>61</v>
      </c>
      <c r="C587" s="5">
        <v>45086</v>
      </c>
      <c r="D587" t="s">
        <v>62</v>
      </c>
      <c r="E587" t="s">
        <v>33</v>
      </c>
      <c r="F587" t="s">
        <v>21</v>
      </c>
      <c r="G587" t="s">
        <v>22</v>
      </c>
      <c r="H587">
        <v>1</v>
      </c>
      <c r="I587" s="7">
        <v>0</v>
      </c>
      <c r="J587">
        <v>34.99</v>
      </c>
      <c r="K587" t="str">
        <f>PROPER('Original Data'!K587)</f>
        <v>Debit Card</v>
      </c>
      <c r="L587" t="s">
        <v>23</v>
      </c>
      <c r="M587" t="str" cm="1">
        <f t="array" ref="M587">_xlfn.IFS(OR('Original Data'!M587=0,'Original Data'!M587="No",'Original Data'!M587=FALSE),"No",OR('Original Data'!M587=1,'Original Data'!M587="Yes",'Original Data'!M587=TRUE),"Yes")</f>
        <v>No</v>
      </c>
    </row>
    <row r="588" spans="1:13" x14ac:dyDescent="0.2">
      <c r="A588">
        <v>587</v>
      </c>
      <c r="B588" t="s">
        <v>50</v>
      </c>
      <c r="C588" s="5">
        <v>45559</v>
      </c>
      <c r="D588" t="s">
        <v>51</v>
      </c>
      <c r="E588" t="s">
        <v>15</v>
      </c>
      <c r="F588" t="s">
        <v>53</v>
      </c>
      <c r="G588" t="s">
        <v>54</v>
      </c>
      <c r="H588">
        <v>4</v>
      </c>
      <c r="I588" s="7">
        <v>0</v>
      </c>
      <c r="J588">
        <v>279.8</v>
      </c>
      <c r="K588" t="str">
        <f>PROPER('Original Data'!K588)</f>
        <v>Debit Card</v>
      </c>
      <c r="L588" t="s">
        <v>28</v>
      </c>
      <c r="M588" t="str" cm="1">
        <f t="array" ref="M588">_xlfn.IFS(OR('Original Data'!M588=0,'Original Data'!M588="No",'Original Data'!M588=FALSE),"No",OR('Original Data'!M588=1,'Original Data'!M588="Yes",'Original Data'!M588=TRUE),"Yes")</f>
        <v>No</v>
      </c>
    </row>
    <row r="589" spans="1:13" x14ac:dyDescent="0.2">
      <c r="A589">
        <v>588</v>
      </c>
      <c r="B589" t="s">
        <v>46</v>
      </c>
      <c r="C589" s="5">
        <v>45571</v>
      </c>
      <c r="D589" t="s">
        <v>47</v>
      </c>
      <c r="E589" t="s">
        <v>48</v>
      </c>
      <c r="F589" t="s">
        <v>44</v>
      </c>
      <c r="H589">
        <v>5</v>
      </c>
      <c r="I589" s="7">
        <v>0</v>
      </c>
      <c r="J589">
        <v>249.75</v>
      </c>
      <c r="K589" t="s">
        <v>90</v>
      </c>
      <c r="L589" t="s">
        <v>63</v>
      </c>
      <c r="M589" t="str" cm="1">
        <f t="array" ref="M589">_xlfn.IFS(OR('Original Data'!M589=0,'Original Data'!M589="No",'Original Data'!M589=FALSE),"No",OR('Original Data'!M589=1,'Original Data'!M589="Yes",'Original Data'!M589=TRUE),"Yes")</f>
        <v>No</v>
      </c>
    </row>
    <row r="590" spans="1:13" x14ac:dyDescent="0.2">
      <c r="A590">
        <v>589</v>
      </c>
      <c r="B590" t="s">
        <v>74</v>
      </c>
      <c r="C590" s="5">
        <v>45271</v>
      </c>
      <c r="D590" t="s">
        <v>75</v>
      </c>
      <c r="E590" t="s">
        <v>76</v>
      </c>
      <c r="F590" t="s">
        <v>26</v>
      </c>
      <c r="G590" t="s">
        <v>22</v>
      </c>
      <c r="H590">
        <v>4</v>
      </c>
      <c r="I590" s="7">
        <v>0.1</v>
      </c>
      <c r="J590">
        <v>161.82</v>
      </c>
      <c r="K590" t="str">
        <f>PROPER('Original Data'!K590)</f>
        <v>Debit Card</v>
      </c>
      <c r="L590" t="s">
        <v>63</v>
      </c>
      <c r="M590" t="str" cm="1">
        <f t="array" ref="M590">_xlfn.IFS(OR('Original Data'!M590=0,'Original Data'!M590="No",'Original Data'!M590=FALSE),"No",OR('Original Data'!M590=1,'Original Data'!M590="Yes",'Original Data'!M590=TRUE),"Yes")</f>
        <v>No</v>
      </c>
    </row>
    <row r="591" spans="1:13" x14ac:dyDescent="0.2">
      <c r="A591">
        <v>590</v>
      </c>
      <c r="B591" t="s">
        <v>58</v>
      </c>
      <c r="C591" s="5">
        <v>45603</v>
      </c>
      <c r="D591" t="s">
        <v>59</v>
      </c>
      <c r="E591" t="s">
        <v>15</v>
      </c>
      <c r="F591" t="s">
        <v>40</v>
      </c>
      <c r="G591" t="s">
        <v>17</v>
      </c>
      <c r="H591">
        <v>2</v>
      </c>
      <c r="I591" s="7">
        <v>0</v>
      </c>
      <c r="J591">
        <v>119.9</v>
      </c>
      <c r="K591" t="str">
        <f>PROPER('Original Data'!K591)</f>
        <v>Credit Card</v>
      </c>
      <c r="L591" t="s">
        <v>23</v>
      </c>
      <c r="M591" t="str" cm="1">
        <f t="array" ref="M591">_xlfn.IFS(OR('Original Data'!M591=0,'Original Data'!M591="No",'Original Data'!M591=FALSE),"No",OR('Original Data'!M591=1,'Original Data'!M591="Yes",'Original Data'!M591=TRUE),"Yes")</f>
        <v>Yes</v>
      </c>
    </row>
    <row r="592" spans="1:13" x14ac:dyDescent="0.2">
      <c r="A592">
        <v>591</v>
      </c>
      <c r="B592" t="s">
        <v>46</v>
      </c>
      <c r="C592" s="5">
        <v>45297</v>
      </c>
      <c r="D592" t="s">
        <v>47</v>
      </c>
      <c r="E592" t="s">
        <v>48</v>
      </c>
      <c r="F592" t="s">
        <v>16</v>
      </c>
      <c r="G592" t="s">
        <v>17</v>
      </c>
      <c r="H592">
        <v>1</v>
      </c>
      <c r="I592" s="7">
        <v>0</v>
      </c>
      <c r="J592">
        <v>49.95</v>
      </c>
      <c r="K592" t="str">
        <f>PROPER('Original Data'!K592)</f>
        <v>Cash</v>
      </c>
      <c r="L592" t="s">
        <v>49</v>
      </c>
      <c r="M592" t="str" cm="1">
        <f t="array" ref="M592">_xlfn.IFS(OR('Original Data'!M592=0,'Original Data'!M592="No",'Original Data'!M592=FALSE),"No",OR('Original Data'!M592=1,'Original Data'!M592="Yes",'Original Data'!M592=TRUE),"Yes")</f>
        <v>No</v>
      </c>
    </row>
    <row r="593" spans="1:13" x14ac:dyDescent="0.2">
      <c r="A593">
        <v>592</v>
      </c>
      <c r="B593" t="s">
        <v>58</v>
      </c>
      <c r="C593" s="5">
        <v>45383</v>
      </c>
      <c r="D593" t="s">
        <v>59</v>
      </c>
      <c r="E593" t="s">
        <v>15</v>
      </c>
      <c r="F593" t="s">
        <v>16</v>
      </c>
      <c r="G593" t="s">
        <v>17</v>
      </c>
      <c r="H593">
        <v>5</v>
      </c>
      <c r="I593" s="7">
        <v>0.05</v>
      </c>
      <c r="J593">
        <v>284.76</v>
      </c>
      <c r="K593" t="str">
        <f>PROPER('Original Data'!K593)</f>
        <v>Apple Pay</v>
      </c>
      <c r="L593" t="s">
        <v>63</v>
      </c>
      <c r="M593" t="str" cm="1">
        <f t="array" ref="M593">_xlfn.IFS(OR('Original Data'!M593=0,'Original Data'!M593="No",'Original Data'!M593=FALSE),"No",OR('Original Data'!M593=1,'Original Data'!M593="Yes",'Original Data'!M593=TRUE),"Yes")</f>
        <v>Yes</v>
      </c>
    </row>
    <row r="594" spans="1:13" x14ac:dyDescent="0.2">
      <c r="A594">
        <v>593</v>
      </c>
      <c r="B594" t="s">
        <v>85</v>
      </c>
      <c r="C594" s="5">
        <v>45386</v>
      </c>
      <c r="D594" t="s">
        <v>86</v>
      </c>
      <c r="E594" t="s">
        <v>76</v>
      </c>
      <c r="F594" t="s">
        <v>34</v>
      </c>
      <c r="G594" t="s">
        <v>35</v>
      </c>
      <c r="H594">
        <v>5</v>
      </c>
      <c r="I594" s="7">
        <v>0.1</v>
      </c>
      <c r="J594">
        <v>404.78</v>
      </c>
      <c r="K594" t="str">
        <f>PROPER('Original Data'!K594)</f>
        <v>Cash</v>
      </c>
      <c r="M594" t="str" cm="1">
        <f t="array" ref="M594">_xlfn.IFS(OR('Original Data'!M594=0,'Original Data'!M594="No",'Original Data'!M594=FALSE),"No",OR('Original Data'!M594=1,'Original Data'!M594="Yes",'Original Data'!M594=TRUE),"Yes")</f>
        <v>Yes</v>
      </c>
    </row>
    <row r="595" spans="1:13" x14ac:dyDescent="0.2">
      <c r="A595">
        <v>594</v>
      </c>
      <c r="B595" t="s">
        <v>50</v>
      </c>
      <c r="C595" s="5">
        <v>45334</v>
      </c>
      <c r="D595" t="s">
        <v>51</v>
      </c>
      <c r="E595" t="s">
        <v>15</v>
      </c>
      <c r="F595" t="s">
        <v>66</v>
      </c>
      <c r="G595" t="s">
        <v>67</v>
      </c>
      <c r="H595">
        <v>1</v>
      </c>
      <c r="I595" s="7">
        <v>0</v>
      </c>
      <c r="J595">
        <v>69.95</v>
      </c>
      <c r="K595" t="str">
        <f>PROPER('Original Data'!K595)</f>
        <v>Apple Pay</v>
      </c>
      <c r="L595" t="s">
        <v>63</v>
      </c>
      <c r="M595" t="str" cm="1">
        <f t="array" ref="M595">_xlfn.IFS(OR('Original Data'!M595=0,'Original Data'!M595="No",'Original Data'!M595=FALSE),"No",OR('Original Data'!M595=1,'Original Data'!M595="Yes",'Original Data'!M595=TRUE),"Yes")</f>
        <v>No</v>
      </c>
    </row>
    <row r="596" spans="1:13" x14ac:dyDescent="0.2">
      <c r="A596">
        <v>595</v>
      </c>
      <c r="B596" t="s">
        <v>37</v>
      </c>
      <c r="C596" s="5">
        <v>45150</v>
      </c>
      <c r="D596" t="s">
        <v>38</v>
      </c>
      <c r="E596" t="s">
        <v>39</v>
      </c>
      <c r="F596" t="s">
        <v>53</v>
      </c>
      <c r="G596" t="s">
        <v>54</v>
      </c>
      <c r="H596">
        <v>2</v>
      </c>
      <c r="I596" s="7">
        <v>0</v>
      </c>
      <c r="J596">
        <v>129.9</v>
      </c>
      <c r="K596" t="s">
        <v>90</v>
      </c>
      <c r="L596" t="s">
        <v>45</v>
      </c>
      <c r="M596" t="str" cm="1">
        <f t="array" ref="M596">_xlfn.IFS(OR('Original Data'!M596=0,'Original Data'!M596="No",'Original Data'!M596=FALSE),"No",OR('Original Data'!M596=1,'Original Data'!M596="Yes",'Original Data'!M596=TRUE),"Yes")</f>
        <v>Yes</v>
      </c>
    </row>
    <row r="597" spans="1:13" x14ac:dyDescent="0.2">
      <c r="A597">
        <v>596</v>
      </c>
      <c r="B597" t="s">
        <v>56</v>
      </c>
      <c r="C597" s="5">
        <v>45473</v>
      </c>
      <c r="D597" t="s">
        <v>57</v>
      </c>
      <c r="E597" t="s">
        <v>48</v>
      </c>
      <c r="F597" t="s">
        <v>53</v>
      </c>
      <c r="G597" t="s">
        <v>54</v>
      </c>
      <c r="H597">
        <v>1</v>
      </c>
      <c r="I597" s="7">
        <v>0</v>
      </c>
      <c r="J597">
        <v>85</v>
      </c>
      <c r="K597" t="str">
        <f>PROPER('Original Data'!K597)</f>
        <v>Credit Card</v>
      </c>
      <c r="M597" t="str" cm="1">
        <f t="array" ref="M597">_xlfn.IFS(OR('Original Data'!M597=0,'Original Data'!M597="No",'Original Data'!M597=FALSE),"No",OR('Original Data'!M597=1,'Original Data'!M597="Yes",'Original Data'!M597=TRUE),"Yes")</f>
        <v>Yes</v>
      </c>
    </row>
    <row r="598" spans="1:13" x14ac:dyDescent="0.2">
      <c r="A598">
        <v>597</v>
      </c>
      <c r="B598" t="s">
        <v>56</v>
      </c>
      <c r="C598" s="5">
        <v>45546</v>
      </c>
      <c r="D598" t="s">
        <v>57</v>
      </c>
      <c r="E598" t="s">
        <v>48</v>
      </c>
      <c r="F598" t="s">
        <v>34</v>
      </c>
      <c r="G598" t="s">
        <v>35</v>
      </c>
      <c r="H598">
        <v>1</v>
      </c>
      <c r="I598" s="7">
        <v>0</v>
      </c>
      <c r="J598">
        <v>85</v>
      </c>
      <c r="K598" t="str">
        <f>PROPER('Original Data'!K598)</f>
        <v>Apple Pay</v>
      </c>
      <c r="L598" t="s">
        <v>49</v>
      </c>
      <c r="M598" t="str" cm="1">
        <f t="array" ref="M598">_xlfn.IFS(OR('Original Data'!M598=0,'Original Data'!M598="No",'Original Data'!M598=FALSE),"No",OR('Original Data'!M598=1,'Original Data'!M598="Yes",'Original Data'!M598=TRUE),"Yes")</f>
        <v>Yes</v>
      </c>
    </row>
    <row r="599" spans="1:13" x14ac:dyDescent="0.2">
      <c r="A599">
        <v>598</v>
      </c>
      <c r="B599" t="s">
        <v>68</v>
      </c>
      <c r="C599" s="5">
        <v>44943</v>
      </c>
      <c r="D599" t="s">
        <v>69</v>
      </c>
      <c r="E599" t="s">
        <v>33</v>
      </c>
      <c r="F599" t="s">
        <v>26</v>
      </c>
      <c r="G599" t="s">
        <v>22</v>
      </c>
      <c r="H599">
        <v>2</v>
      </c>
      <c r="I599" s="7">
        <v>0.1</v>
      </c>
      <c r="J599">
        <v>214.2</v>
      </c>
      <c r="K599" t="str">
        <f>PROPER('Original Data'!K599)</f>
        <v>Cash</v>
      </c>
      <c r="L599" t="s">
        <v>45</v>
      </c>
      <c r="M599" t="str" cm="1">
        <f t="array" ref="M599">_xlfn.IFS(OR('Original Data'!M599=0,'Original Data'!M599="No",'Original Data'!M599=FALSE),"No",OR('Original Data'!M599=1,'Original Data'!M599="Yes",'Original Data'!M599=TRUE),"Yes")</f>
        <v>No</v>
      </c>
    </row>
    <row r="600" spans="1:13" x14ac:dyDescent="0.2">
      <c r="A600">
        <v>599</v>
      </c>
      <c r="B600" t="s">
        <v>24</v>
      </c>
      <c r="C600" s="5">
        <v>45522</v>
      </c>
      <c r="D600" t="s">
        <v>87</v>
      </c>
      <c r="E600" t="s">
        <v>39</v>
      </c>
      <c r="F600" t="s">
        <v>34</v>
      </c>
      <c r="G600" t="s">
        <v>35</v>
      </c>
      <c r="H600">
        <v>2</v>
      </c>
      <c r="I600" s="7">
        <v>0.15</v>
      </c>
      <c r="J600">
        <v>76.42</v>
      </c>
      <c r="K600" t="str">
        <f>PROPER('Original Data'!K600)</f>
        <v>Debit Card</v>
      </c>
      <c r="L600" t="s">
        <v>30</v>
      </c>
      <c r="M600" t="str" cm="1">
        <f t="array" ref="M600">_xlfn.IFS(OR('Original Data'!M600=0,'Original Data'!M600="No",'Original Data'!M600=FALSE),"No",OR('Original Data'!M600=1,'Original Data'!M600="Yes",'Original Data'!M600=TRUE),"Yes")</f>
        <v>Yes</v>
      </c>
    </row>
    <row r="601" spans="1:13" x14ac:dyDescent="0.2">
      <c r="A601">
        <v>600</v>
      </c>
      <c r="B601" t="s">
        <v>24</v>
      </c>
      <c r="C601" s="5">
        <v>45429</v>
      </c>
      <c r="D601" t="s">
        <v>87</v>
      </c>
      <c r="E601" t="s">
        <v>39</v>
      </c>
      <c r="F601" t="s">
        <v>66</v>
      </c>
      <c r="G601" t="s">
        <v>67</v>
      </c>
      <c r="H601">
        <v>2</v>
      </c>
      <c r="I601" s="7">
        <v>0</v>
      </c>
      <c r="J601">
        <v>89.9</v>
      </c>
      <c r="K601" t="s">
        <v>90</v>
      </c>
      <c r="L601" t="s">
        <v>63</v>
      </c>
      <c r="M601" t="str" cm="1">
        <f t="array" ref="M601">_xlfn.IFS(OR('Original Data'!M601=0,'Original Data'!M601="No",'Original Data'!M601=FALSE),"No",OR('Original Data'!M601=1,'Original Data'!M601="Yes",'Original Data'!M601=TRUE),"Yes")</f>
        <v>Yes</v>
      </c>
    </row>
    <row r="602" spans="1:13" x14ac:dyDescent="0.2">
      <c r="A602">
        <v>601</v>
      </c>
      <c r="B602" t="s">
        <v>19</v>
      </c>
      <c r="C602" s="5">
        <v>45466</v>
      </c>
      <c r="D602" t="s">
        <v>20</v>
      </c>
      <c r="E602" t="s">
        <v>15</v>
      </c>
      <c r="F602" t="s">
        <v>21</v>
      </c>
      <c r="G602" t="s">
        <v>22</v>
      </c>
      <c r="H602">
        <v>4</v>
      </c>
      <c r="I602" s="7">
        <v>0.2</v>
      </c>
      <c r="J602">
        <v>287.83999999999997</v>
      </c>
      <c r="K602" t="str">
        <f>PROPER('Original Data'!K602)</f>
        <v>Apple Pay</v>
      </c>
      <c r="L602" t="s">
        <v>55</v>
      </c>
      <c r="M602" t="str" cm="1">
        <f t="array" ref="M602">_xlfn.IFS(OR('Original Data'!M602=0,'Original Data'!M602="No",'Original Data'!M602=FALSE),"No",OR('Original Data'!M602=1,'Original Data'!M602="Yes",'Original Data'!M602=TRUE),"Yes")</f>
        <v>Yes</v>
      </c>
    </row>
    <row r="603" spans="1:13" x14ac:dyDescent="0.2">
      <c r="A603">
        <v>602</v>
      </c>
      <c r="B603" t="s">
        <v>61</v>
      </c>
      <c r="C603" s="5">
        <v>45569</v>
      </c>
      <c r="D603" t="s">
        <v>62</v>
      </c>
      <c r="E603" t="s">
        <v>33</v>
      </c>
      <c r="G603" t="s">
        <v>25</v>
      </c>
      <c r="H603">
        <v>2</v>
      </c>
      <c r="I603" s="7">
        <v>0</v>
      </c>
      <c r="J603">
        <v>69.98</v>
      </c>
      <c r="K603" t="str">
        <f>PROPER('Original Data'!K603)</f>
        <v>Debit Card</v>
      </c>
      <c r="L603" t="s">
        <v>30</v>
      </c>
      <c r="M603" t="str" cm="1">
        <f t="array" ref="M603">_xlfn.IFS(OR('Original Data'!M603=0,'Original Data'!M603="No",'Original Data'!M603=FALSE),"No",OR('Original Data'!M603=1,'Original Data'!M603="Yes",'Original Data'!M603=TRUE),"Yes")</f>
        <v>No</v>
      </c>
    </row>
    <row r="604" spans="1:13" x14ac:dyDescent="0.2">
      <c r="A604">
        <v>603</v>
      </c>
      <c r="B604" t="s">
        <v>81</v>
      </c>
      <c r="C604" s="5">
        <v>45417</v>
      </c>
      <c r="D604" t="str">
        <f>VLOOKUP(B604,'Original Data'!B:D,3,FALSE)</f>
        <v>Slip-On Loafers</v>
      </c>
      <c r="E604" t="str">
        <f>_xlfn.XLOOKUP('Cleaned Data'!B1112,'Original Data'!B:B,'Original Data'!E:E)</f>
        <v>Old Navy</v>
      </c>
      <c r="F604" t="s">
        <v>44</v>
      </c>
      <c r="H604">
        <v>4</v>
      </c>
      <c r="I604" s="7">
        <v>0</v>
      </c>
      <c r="J604">
        <v>319.8</v>
      </c>
      <c r="K604" t="str">
        <f>PROPER('Original Data'!K604)</f>
        <v>Cash</v>
      </c>
      <c r="L604" t="s">
        <v>30</v>
      </c>
      <c r="M604" t="s">
        <v>92</v>
      </c>
    </row>
    <row r="605" spans="1:13" x14ac:dyDescent="0.2">
      <c r="A605">
        <v>604</v>
      </c>
      <c r="B605" t="s">
        <v>61</v>
      </c>
      <c r="C605" s="5">
        <v>45364</v>
      </c>
      <c r="D605" t="s">
        <v>62</v>
      </c>
      <c r="E605" t="s">
        <v>33</v>
      </c>
      <c r="F605" t="s">
        <v>21</v>
      </c>
      <c r="G605" t="s">
        <v>22</v>
      </c>
      <c r="H605">
        <v>1</v>
      </c>
      <c r="I605" s="7">
        <v>0.05</v>
      </c>
      <c r="J605">
        <v>33.24</v>
      </c>
      <c r="K605" t="str">
        <f>PROPER('Original Data'!K605)</f>
        <v>Debit Card</v>
      </c>
      <c r="L605" t="s">
        <v>23</v>
      </c>
      <c r="M605" t="str" cm="1">
        <f t="array" ref="M605">_xlfn.IFS(OR('Original Data'!M605=0,'Original Data'!M605="No",'Original Data'!M605=FALSE),"No",OR('Original Data'!M605=1,'Original Data'!M605="Yes",'Original Data'!M605=TRUE),"Yes")</f>
        <v>No</v>
      </c>
    </row>
    <row r="606" spans="1:13" x14ac:dyDescent="0.2">
      <c r="A606">
        <v>605</v>
      </c>
      <c r="B606" t="s">
        <v>46</v>
      </c>
      <c r="C606" s="5">
        <v>45005</v>
      </c>
      <c r="D606" t="s">
        <v>47</v>
      </c>
      <c r="E606" t="s">
        <v>48</v>
      </c>
      <c r="F606" t="s">
        <v>66</v>
      </c>
      <c r="G606" t="s">
        <v>67</v>
      </c>
      <c r="H606">
        <v>2</v>
      </c>
      <c r="I606" s="7">
        <v>0</v>
      </c>
      <c r="J606">
        <v>99.9</v>
      </c>
      <c r="K606" t="str">
        <f>PROPER('Original Data'!K606)</f>
        <v>Cash</v>
      </c>
      <c r="L606" t="s">
        <v>30</v>
      </c>
      <c r="M606" t="str" cm="1">
        <f t="array" ref="M606">_xlfn.IFS(OR('Original Data'!M606=0,'Original Data'!M606="No",'Original Data'!M606=FALSE),"No",OR('Original Data'!M606=1,'Original Data'!M606="Yes",'Original Data'!M606=TRUE),"Yes")</f>
        <v>No</v>
      </c>
    </row>
    <row r="607" spans="1:13" x14ac:dyDescent="0.2">
      <c r="A607">
        <v>606</v>
      </c>
      <c r="B607" t="s">
        <v>85</v>
      </c>
      <c r="C607" s="5">
        <v>45033</v>
      </c>
      <c r="D607" t="str">
        <f>VLOOKUP(B607,'Original Data'!B:D,3,FALSE)</f>
        <v xml:space="preserve">Wrap Dress  </v>
      </c>
      <c r="E607" t="str">
        <f>_xlfn.XLOOKUP('Cleaned Data'!B796,'Original Data'!B:B,'Original Data'!E:E)</f>
        <v>Banana Republic</v>
      </c>
      <c r="F607" t="s">
        <v>66</v>
      </c>
      <c r="G607" t="s">
        <v>67</v>
      </c>
      <c r="H607">
        <v>2</v>
      </c>
      <c r="I607" s="7">
        <v>0.1</v>
      </c>
      <c r="J607">
        <v>161.91</v>
      </c>
      <c r="K607" t="str">
        <f>PROPER('Original Data'!K607)</f>
        <v>Cash</v>
      </c>
      <c r="M607" t="s">
        <v>92</v>
      </c>
    </row>
    <row r="608" spans="1:13" x14ac:dyDescent="0.2">
      <c r="A608">
        <v>607</v>
      </c>
      <c r="B608" t="s">
        <v>61</v>
      </c>
      <c r="C608" s="5">
        <v>45416</v>
      </c>
      <c r="D608" t="s">
        <v>62</v>
      </c>
      <c r="E608" t="s">
        <v>33</v>
      </c>
      <c r="F608" t="s">
        <v>66</v>
      </c>
      <c r="G608" t="s">
        <v>67</v>
      </c>
      <c r="H608">
        <v>3</v>
      </c>
      <c r="I608" s="7">
        <v>0</v>
      </c>
      <c r="J608">
        <v>104.97</v>
      </c>
      <c r="K608" t="str">
        <f>PROPER('Original Data'!K608)</f>
        <v>Gift Card</v>
      </c>
      <c r="L608" t="s">
        <v>28</v>
      </c>
      <c r="M608" t="str" cm="1">
        <f t="array" ref="M608">_xlfn.IFS(OR('Original Data'!M608=0,'Original Data'!M608="No",'Original Data'!M608=FALSE),"No",OR('Original Data'!M608=1,'Original Data'!M608="Yes",'Original Data'!M608=TRUE),"Yes")</f>
        <v>No</v>
      </c>
    </row>
    <row r="609" spans="1:13" x14ac:dyDescent="0.2">
      <c r="A609">
        <v>608</v>
      </c>
      <c r="B609" t="s">
        <v>85</v>
      </c>
      <c r="C609" s="5">
        <v>45596</v>
      </c>
      <c r="D609" t="s">
        <v>86</v>
      </c>
      <c r="E609" t="s">
        <v>76</v>
      </c>
      <c r="F609" t="s">
        <v>44</v>
      </c>
      <c r="H609">
        <v>4</v>
      </c>
      <c r="I609" s="7">
        <v>0.2</v>
      </c>
      <c r="J609">
        <v>287.83999999999997</v>
      </c>
      <c r="K609" t="str">
        <f>PROPER('Original Data'!K609)</f>
        <v>Debit Card</v>
      </c>
      <c r="L609" t="s">
        <v>49</v>
      </c>
      <c r="M609" t="str" cm="1">
        <f t="array" ref="M609">_xlfn.IFS(OR('Original Data'!M609=0,'Original Data'!M609="No",'Original Data'!M609=FALSE),"No",OR('Original Data'!M609=1,'Original Data'!M609="Yes",'Original Data'!M609=TRUE),"Yes")</f>
        <v>Yes</v>
      </c>
    </row>
    <row r="610" spans="1:13" x14ac:dyDescent="0.2">
      <c r="A610">
        <v>609</v>
      </c>
      <c r="B610" t="s">
        <v>42</v>
      </c>
      <c r="C610" s="5">
        <v>44944</v>
      </c>
      <c r="D610" t="s">
        <v>91</v>
      </c>
      <c r="E610" t="s">
        <v>15</v>
      </c>
      <c r="F610" t="s">
        <v>34</v>
      </c>
      <c r="G610" t="s">
        <v>35</v>
      </c>
      <c r="H610">
        <v>2</v>
      </c>
      <c r="I610" s="7">
        <v>0</v>
      </c>
      <c r="J610">
        <v>258</v>
      </c>
      <c r="K610" t="str">
        <f>PROPER('Original Data'!K610)</f>
        <v>Debit Card</v>
      </c>
      <c r="L610" t="s">
        <v>23</v>
      </c>
      <c r="M610" t="str" cm="1">
        <f t="array" ref="M610">_xlfn.IFS(OR('Original Data'!M610=0,'Original Data'!M610="No",'Original Data'!M610=FALSE),"No",OR('Original Data'!M610=1,'Original Data'!M610="Yes",'Original Data'!M610=TRUE),"Yes")</f>
        <v>Yes</v>
      </c>
    </row>
    <row r="611" spans="1:13" x14ac:dyDescent="0.2">
      <c r="A611">
        <v>610</v>
      </c>
      <c r="B611" t="s">
        <v>61</v>
      </c>
      <c r="C611" s="5">
        <v>45156</v>
      </c>
      <c r="D611" t="s">
        <v>62</v>
      </c>
      <c r="E611" t="s">
        <v>33</v>
      </c>
      <c r="F611" t="s">
        <v>44</v>
      </c>
      <c r="H611">
        <v>5</v>
      </c>
      <c r="I611" s="7">
        <v>0.2</v>
      </c>
      <c r="J611">
        <v>139.96</v>
      </c>
      <c r="K611" t="str">
        <f>PROPER('Original Data'!K611)</f>
        <v>Debit Card</v>
      </c>
      <c r="L611" t="s">
        <v>63</v>
      </c>
      <c r="M611" t="str" cm="1">
        <f t="array" ref="M611">_xlfn.IFS(OR('Original Data'!M611=0,'Original Data'!M611="No",'Original Data'!M611=FALSE),"No",OR('Original Data'!M611=1,'Original Data'!M611="Yes",'Original Data'!M611=TRUE),"Yes")</f>
        <v>No</v>
      </c>
    </row>
    <row r="612" spans="1:13" x14ac:dyDescent="0.2">
      <c r="A612">
        <v>611</v>
      </c>
      <c r="B612" t="s">
        <v>46</v>
      </c>
      <c r="C612" s="5">
        <v>45088</v>
      </c>
      <c r="D612" t="s">
        <v>47</v>
      </c>
      <c r="E612" t="s">
        <v>48</v>
      </c>
      <c r="F612" t="s">
        <v>26</v>
      </c>
      <c r="G612" t="s">
        <v>22</v>
      </c>
      <c r="H612">
        <v>5</v>
      </c>
      <c r="I612" s="7">
        <v>0</v>
      </c>
      <c r="J612">
        <v>249.75</v>
      </c>
      <c r="K612" t="s">
        <v>90</v>
      </c>
      <c r="L612" t="s">
        <v>41</v>
      </c>
      <c r="M612" t="str" cm="1">
        <f t="array" ref="M612">_xlfn.IFS(OR('Original Data'!M612=0,'Original Data'!M612="No",'Original Data'!M612=FALSE),"No",OR('Original Data'!M612=1,'Original Data'!M612="Yes",'Original Data'!M612=TRUE),"Yes")</f>
        <v>No</v>
      </c>
    </row>
    <row r="613" spans="1:13" x14ac:dyDescent="0.2">
      <c r="A613">
        <v>612</v>
      </c>
      <c r="B613" t="s">
        <v>61</v>
      </c>
      <c r="C613" s="5">
        <v>45272</v>
      </c>
      <c r="D613" t="str">
        <f>VLOOKUP(B613,'Original Data'!B:D,3,FALSE)</f>
        <v>Leather Belt</v>
      </c>
      <c r="E613" t="str">
        <f>_xlfn.XLOOKUP('Cleaned Data'!B263,'Original Data'!B:B,'Original Data'!E:E)</f>
        <v>Old Navy</v>
      </c>
      <c r="F613" t="s">
        <v>44</v>
      </c>
      <c r="H613">
        <v>5</v>
      </c>
      <c r="I613" s="7">
        <v>0.1</v>
      </c>
      <c r="J613">
        <v>157.46</v>
      </c>
      <c r="K613" t="str">
        <f>PROPER('Original Data'!K613)</f>
        <v>Gift Card</v>
      </c>
      <c r="L613" t="s">
        <v>41</v>
      </c>
      <c r="M613" t="s">
        <v>92</v>
      </c>
    </row>
    <row r="614" spans="1:13" x14ac:dyDescent="0.2">
      <c r="A614">
        <v>613</v>
      </c>
      <c r="B614" t="s">
        <v>74</v>
      </c>
      <c r="C614" s="5">
        <v>45440</v>
      </c>
      <c r="D614" t="s">
        <v>75</v>
      </c>
      <c r="E614" t="s">
        <v>76</v>
      </c>
      <c r="F614" t="s">
        <v>26</v>
      </c>
      <c r="G614" t="s">
        <v>22</v>
      </c>
      <c r="H614">
        <v>4</v>
      </c>
      <c r="I614" s="7">
        <v>0.25</v>
      </c>
      <c r="J614">
        <v>134.85</v>
      </c>
      <c r="K614" t="s">
        <v>90</v>
      </c>
      <c r="L614" t="s">
        <v>30</v>
      </c>
      <c r="M614" t="str" cm="1">
        <f t="array" ref="M614">_xlfn.IFS(OR('Original Data'!M614=0,'Original Data'!M614="No",'Original Data'!M614=FALSE),"No",OR('Original Data'!M614=1,'Original Data'!M614="Yes",'Original Data'!M614=TRUE),"Yes")</f>
        <v>No</v>
      </c>
    </row>
    <row r="615" spans="1:13" x14ac:dyDescent="0.2">
      <c r="A615">
        <v>614</v>
      </c>
      <c r="B615" t="s">
        <v>19</v>
      </c>
      <c r="C615" s="5">
        <v>45406</v>
      </c>
      <c r="D615" t="s">
        <v>20</v>
      </c>
      <c r="E615" t="s">
        <v>15</v>
      </c>
      <c r="F615" t="s">
        <v>26</v>
      </c>
      <c r="G615" t="s">
        <v>22</v>
      </c>
      <c r="H615">
        <v>4</v>
      </c>
      <c r="I615" s="7">
        <v>0</v>
      </c>
      <c r="J615">
        <v>359.8</v>
      </c>
      <c r="K615" t="str">
        <f>PROPER('Original Data'!K615)</f>
        <v>Apple Pay</v>
      </c>
      <c r="L615" t="s">
        <v>55</v>
      </c>
      <c r="M615" t="str" cm="1">
        <f t="array" ref="M615">_xlfn.IFS(OR('Original Data'!M615=0,'Original Data'!M615="No",'Original Data'!M615=FALSE),"No",OR('Original Data'!M615=1,'Original Data'!M615="Yes",'Original Data'!M615=TRUE),"Yes")</f>
        <v>Yes</v>
      </c>
    </row>
    <row r="616" spans="1:13" x14ac:dyDescent="0.2">
      <c r="A616">
        <v>615</v>
      </c>
      <c r="B616" t="s">
        <v>68</v>
      </c>
      <c r="C616" s="5">
        <v>45215</v>
      </c>
      <c r="D616" t="s">
        <v>69</v>
      </c>
      <c r="E616" t="s">
        <v>33</v>
      </c>
      <c r="F616" t="s">
        <v>16</v>
      </c>
      <c r="G616" t="s">
        <v>17</v>
      </c>
      <c r="H616">
        <v>5</v>
      </c>
      <c r="I616" s="7">
        <v>0.15</v>
      </c>
      <c r="J616">
        <v>505.75</v>
      </c>
      <c r="K616" t="str">
        <f>PROPER('Original Data'!K616)</f>
        <v>Debit Card</v>
      </c>
      <c r="L616" t="s">
        <v>23</v>
      </c>
      <c r="M616" t="str" cm="1">
        <f t="array" ref="M616">_xlfn.IFS(OR('Original Data'!M616=0,'Original Data'!M616="No",'Original Data'!M616=FALSE),"No",OR('Original Data'!M616=1,'Original Data'!M616="Yes",'Original Data'!M616=TRUE),"Yes")</f>
        <v>No</v>
      </c>
    </row>
    <row r="617" spans="1:13" x14ac:dyDescent="0.2">
      <c r="A617">
        <v>616</v>
      </c>
      <c r="B617" t="s">
        <v>19</v>
      </c>
      <c r="C617" s="5">
        <v>45422</v>
      </c>
      <c r="D617" t="s">
        <v>20</v>
      </c>
      <c r="E617" t="s">
        <v>15</v>
      </c>
      <c r="G617" t="s">
        <v>25</v>
      </c>
      <c r="H617">
        <v>3</v>
      </c>
      <c r="I617" s="7">
        <v>0</v>
      </c>
      <c r="J617">
        <v>269.85000000000002</v>
      </c>
      <c r="K617" t="s">
        <v>90</v>
      </c>
      <c r="L617" t="s">
        <v>23</v>
      </c>
      <c r="M617" t="str" cm="1">
        <f t="array" ref="M617">_xlfn.IFS(OR('Original Data'!M617=0,'Original Data'!M617="No",'Original Data'!M617=FALSE),"No",OR('Original Data'!M617=1,'Original Data'!M617="Yes",'Original Data'!M617=TRUE),"Yes")</f>
        <v>Yes</v>
      </c>
    </row>
    <row r="618" spans="1:13" x14ac:dyDescent="0.2">
      <c r="A618">
        <v>617</v>
      </c>
      <c r="B618" t="s">
        <v>74</v>
      </c>
      <c r="C618" s="5">
        <v>45344</v>
      </c>
      <c r="D618" t="s">
        <v>75</v>
      </c>
      <c r="E618" t="s">
        <v>76</v>
      </c>
      <c r="F618" t="s">
        <v>40</v>
      </c>
      <c r="G618" t="s">
        <v>17</v>
      </c>
      <c r="H618">
        <v>3</v>
      </c>
      <c r="I618" s="7">
        <v>0</v>
      </c>
      <c r="J618">
        <v>134.85</v>
      </c>
      <c r="K618" t="str">
        <f>PROPER('Original Data'!K618)</f>
        <v>Cash</v>
      </c>
      <c r="M618" t="str" cm="1">
        <f t="array" ref="M618">_xlfn.IFS(OR('Original Data'!M618=0,'Original Data'!M618="No",'Original Data'!M618=FALSE),"No",OR('Original Data'!M618=1,'Original Data'!M618="Yes",'Original Data'!M618=TRUE),"Yes")</f>
        <v>No</v>
      </c>
    </row>
    <row r="619" spans="1:13" x14ac:dyDescent="0.2">
      <c r="A619">
        <v>618</v>
      </c>
      <c r="B619" t="s">
        <v>42</v>
      </c>
      <c r="C619" s="5">
        <v>45596</v>
      </c>
      <c r="D619" t="s">
        <v>91</v>
      </c>
      <c r="E619" t="s">
        <v>15</v>
      </c>
      <c r="F619" t="s">
        <v>44</v>
      </c>
      <c r="H619">
        <v>1</v>
      </c>
      <c r="I619" s="7">
        <v>0.05</v>
      </c>
      <c r="J619">
        <v>122.55</v>
      </c>
      <c r="K619" t="str">
        <f>PROPER('Original Data'!K619)</f>
        <v>Apple Pay</v>
      </c>
      <c r="L619" t="s">
        <v>63</v>
      </c>
      <c r="M619" t="str" cm="1">
        <f t="array" ref="M619">_xlfn.IFS(OR('Original Data'!M619=0,'Original Data'!M619="No",'Original Data'!M619=FALSE),"No",OR('Original Data'!M619=1,'Original Data'!M619="Yes",'Original Data'!M619=TRUE),"Yes")</f>
        <v>Yes</v>
      </c>
    </row>
    <row r="620" spans="1:13" x14ac:dyDescent="0.2">
      <c r="A620">
        <v>619</v>
      </c>
      <c r="B620" t="s">
        <v>88</v>
      </c>
      <c r="C620" s="5">
        <v>45656</v>
      </c>
      <c r="D620" t="s">
        <v>89</v>
      </c>
      <c r="E620" t="s">
        <v>33</v>
      </c>
      <c r="F620" t="s">
        <v>66</v>
      </c>
      <c r="G620" t="s">
        <v>67</v>
      </c>
      <c r="H620">
        <v>3</v>
      </c>
      <c r="I620" s="7">
        <v>0.15</v>
      </c>
      <c r="J620">
        <v>504.9</v>
      </c>
      <c r="K620" t="str">
        <f>PROPER('Original Data'!K620)</f>
        <v>Credit Card</v>
      </c>
      <c r="L620" t="s">
        <v>28</v>
      </c>
      <c r="M620" t="str" cm="1">
        <f t="array" ref="M620">_xlfn.IFS(OR('Original Data'!M620=0,'Original Data'!M620="No",'Original Data'!M620=FALSE),"No",OR('Original Data'!M620=1,'Original Data'!M620="Yes",'Original Data'!M620=TRUE),"Yes")</f>
        <v>No</v>
      </c>
    </row>
    <row r="621" spans="1:13" x14ac:dyDescent="0.2">
      <c r="A621">
        <v>620</v>
      </c>
      <c r="B621" t="s">
        <v>50</v>
      </c>
      <c r="C621" s="5">
        <v>45392</v>
      </c>
      <c r="D621" t="str">
        <f>VLOOKUP(B621,'Original Data'!B:D,3,FALSE)</f>
        <v>High-Rise Jeans</v>
      </c>
      <c r="E621" t="str">
        <f>_xlfn.XLOOKUP('Cleaned Data'!B561,'Original Data'!B:B,'Original Data'!E:E)</f>
        <v>Banana Republic</v>
      </c>
      <c r="F621" t="s">
        <v>66</v>
      </c>
      <c r="G621" t="s">
        <v>67</v>
      </c>
      <c r="H621">
        <v>5</v>
      </c>
      <c r="I621" s="7">
        <v>0</v>
      </c>
      <c r="J621">
        <v>349.75</v>
      </c>
      <c r="K621" t="str">
        <f>PROPER('Original Data'!K621)</f>
        <v>Credit Card</v>
      </c>
      <c r="L621" t="s">
        <v>41</v>
      </c>
      <c r="M621" t="s">
        <v>92</v>
      </c>
    </row>
    <row r="622" spans="1:13" x14ac:dyDescent="0.2">
      <c r="A622">
        <v>621</v>
      </c>
      <c r="B622" t="s">
        <v>64</v>
      </c>
      <c r="C622" s="5">
        <v>45426</v>
      </c>
      <c r="D622" t="s">
        <v>65</v>
      </c>
      <c r="E622" t="s">
        <v>33</v>
      </c>
      <c r="F622" t="s">
        <v>44</v>
      </c>
      <c r="H622">
        <v>4</v>
      </c>
      <c r="I622" s="7">
        <v>0</v>
      </c>
      <c r="J622">
        <v>299.8</v>
      </c>
      <c r="K622" t="s">
        <v>90</v>
      </c>
      <c r="L622" t="s">
        <v>55</v>
      </c>
      <c r="M622" t="str" cm="1">
        <f t="array" ref="M622">_xlfn.IFS(OR('Original Data'!M622=0,'Original Data'!M622="No",'Original Data'!M622=FALSE),"No",OR('Original Data'!M622=1,'Original Data'!M622="Yes",'Original Data'!M622=TRUE),"Yes")</f>
        <v>No</v>
      </c>
    </row>
    <row r="623" spans="1:13" x14ac:dyDescent="0.2">
      <c r="A623">
        <v>622</v>
      </c>
      <c r="B623" t="s">
        <v>68</v>
      </c>
      <c r="C623" s="5">
        <v>45625</v>
      </c>
      <c r="D623" t="str">
        <f>VLOOKUP(B623,'Original Data'!B:D,3,FALSE)</f>
        <v xml:space="preserve">Ankle Boots  </v>
      </c>
      <c r="E623" t="str">
        <f>_xlfn.XLOOKUP('Cleaned Data'!B675,'Original Data'!B:B,'Original Data'!E:E)</f>
        <v>Banana Republic</v>
      </c>
      <c r="F623" t="s">
        <v>40</v>
      </c>
      <c r="G623" t="s">
        <v>17</v>
      </c>
      <c r="H623">
        <v>1</v>
      </c>
      <c r="I623" s="7">
        <v>0.2</v>
      </c>
      <c r="J623">
        <v>95.2</v>
      </c>
      <c r="K623" t="str">
        <f>PROPER('Original Data'!K623)</f>
        <v>Cash</v>
      </c>
      <c r="L623" t="s">
        <v>41</v>
      </c>
      <c r="M623" t="s">
        <v>92</v>
      </c>
    </row>
    <row r="624" spans="1:13" x14ac:dyDescent="0.2">
      <c r="A624">
        <v>623</v>
      </c>
      <c r="B624" t="s">
        <v>81</v>
      </c>
      <c r="C624" s="5">
        <v>45400</v>
      </c>
      <c r="D624" t="s">
        <v>82</v>
      </c>
      <c r="E624" t="s">
        <v>15</v>
      </c>
      <c r="F624" t="s">
        <v>66</v>
      </c>
      <c r="G624" t="s">
        <v>67</v>
      </c>
      <c r="H624">
        <v>4</v>
      </c>
      <c r="I624" s="7">
        <v>0</v>
      </c>
      <c r="J624">
        <v>319.8</v>
      </c>
      <c r="K624" t="str">
        <f>PROPER('Original Data'!K624)</f>
        <v>Gift Card</v>
      </c>
      <c r="L624" t="s">
        <v>63</v>
      </c>
      <c r="M624" t="str" cm="1">
        <f t="array" ref="M624">_xlfn.IFS(OR('Original Data'!M624=0,'Original Data'!M624="No",'Original Data'!M624=FALSE),"No",OR('Original Data'!M624=1,'Original Data'!M624="Yes",'Original Data'!M624=TRUE),"Yes")</f>
        <v>Yes</v>
      </c>
    </row>
    <row r="625" spans="1:13" x14ac:dyDescent="0.2">
      <c r="A625">
        <v>624</v>
      </c>
      <c r="B625" t="s">
        <v>85</v>
      </c>
      <c r="C625" s="5">
        <v>45251</v>
      </c>
      <c r="D625" t="str">
        <f>VLOOKUP(B625,'Original Data'!B:D,3,FALSE)</f>
        <v xml:space="preserve">Wrap Dress  </v>
      </c>
      <c r="E625" t="str">
        <f>_xlfn.XLOOKUP('Cleaned Data'!B798,'Original Data'!B:B,'Original Data'!E:E)</f>
        <v>GAP</v>
      </c>
      <c r="F625" t="s">
        <v>21</v>
      </c>
      <c r="G625" t="s">
        <v>22</v>
      </c>
      <c r="H625">
        <v>2</v>
      </c>
      <c r="I625" s="7">
        <v>0.2</v>
      </c>
      <c r="J625">
        <v>143.91999999999999</v>
      </c>
      <c r="K625" t="str">
        <f>PROPER('Original Data'!K625)</f>
        <v>Credit Card</v>
      </c>
      <c r="L625" t="s">
        <v>49</v>
      </c>
      <c r="M625" t="s">
        <v>92</v>
      </c>
    </row>
    <row r="626" spans="1:13" x14ac:dyDescent="0.2">
      <c r="A626">
        <v>625</v>
      </c>
      <c r="B626" t="s">
        <v>88</v>
      </c>
      <c r="C626" s="5">
        <v>45297</v>
      </c>
      <c r="D626" t="s">
        <v>89</v>
      </c>
      <c r="E626" t="s">
        <v>33</v>
      </c>
      <c r="F626" t="s">
        <v>34</v>
      </c>
      <c r="G626" t="s">
        <v>35</v>
      </c>
      <c r="H626">
        <v>5</v>
      </c>
      <c r="I626" s="7">
        <v>0</v>
      </c>
      <c r="J626">
        <v>990</v>
      </c>
      <c r="K626" t="str">
        <f>PROPER('Original Data'!K626)</f>
        <v>Credit Card</v>
      </c>
      <c r="L626" t="s">
        <v>28</v>
      </c>
      <c r="M626" t="str" cm="1">
        <f t="array" ref="M626">_xlfn.IFS(OR('Original Data'!M626=0,'Original Data'!M626="No",'Original Data'!M626=FALSE),"No",OR('Original Data'!M626=1,'Original Data'!M626="Yes",'Original Data'!M626=TRUE),"Yes")</f>
        <v>No</v>
      </c>
    </row>
    <row r="627" spans="1:13" x14ac:dyDescent="0.2">
      <c r="A627">
        <v>626</v>
      </c>
      <c r="B627" t="s">
        <v>42</v>
      </c>
      <c r="C627" s="5">
        <v>45146</v>
      </c>
      <c r="D627" t="s">
        <v>91</v>
      </c>
      <c r="E627" t="s">
        <v>15</v>
      </c>
      <c r="F627" t="s">
        <v>21</v>
      </c>
      <c r="G627" t="s">
        <v>22</v>
      </c>
      <c r="H627">
        <v>3</v>
      </c>
      <c r="I627" s="7">
        <v>0.25</v>
      </c>
      <c r="J627">
        <v>290.25</v>
      </c>
      <c r="K627" t="s">
        <v>90</v>
      </c>
      <c r="L627" t="s">
        <v>28</v>
      </c>
      <c r="M627" t="str" cm="1">
        <f t="array" ref="M627">_xlfn.IFS(OR('Original Data'!M627=0,'Original Data'!M627="No",'Original Data'!M627=FALSE),"No",OR('Original Data'!M627=1,'Original Data'!M627="Yes",'Original Data'!M627=TRUE),"Yes")</f>
        <v>Yes</v>
      </c>
    </row>
    <row r="628" spans="1:13" x14ac:dyDescent="0.2">
      <c r="A628">
        <v>627</v>
      </c>
      <c r="B628" t="s">
        <v>83</v>
      </c>
      <c r="C628" s="5">
        <v>45636</v>
      </c>
      <c r="D628" t="str">
        <f>VLOOKUP(B628,'Original Data'!B:D,3,FALSE)</f>
        <v>Graphic Hoodie</v>
      </c>
      <c r="E628" t="str">
        <f>_xlfn.XLOOKUP('Cleaned Data'!B914,'Original Data'!B:B,'Original Data'!E:E)</f>
        <v>GAP</v>
      </c>
      <c r="F628" t="s">
        <v>21</v>
      </c>
      <c r="G628" t="s">
        <v>22</v>
      </c>
      <c r="H628">
        <v>4</v>
      </c>
      <c r="I628" s="7">
        <v>0</v>
      </c>
      <c r="J628">
        <v>199.8</v>
      </c>
      <c r="K628" t="str">
        <f>PROPER('Original Data'!K628)</f>
        <v>Cash</v>
      </c>
      <c r="L628" t="s">
        <v>28</v>
      </c>
      <c r="M628" t="s">
        <v>92</v>
      </c>
    </row>
    <row r="629" spans="1:13" x14ac:dyDescent="0.2">
      <c r="A629">
        <v>628</v>
      </c>
      <c r="B629" t="s">
        <v>88</v>
      </c>
      <c r="C629" s="5">
        <v>45438</v>
      </c>
      <c r="D629" t="s">
        <v>89</v>
      </c>
      <c r="E629" t="s">
        <v>33</v>
      </c>
      <c r="F629" t="s">
        <v>40</v>
      </c>
      <c r="G629" t="s">
        <v>17</v>
      </c>
      <c r="H629">
        <v>1</v>
      </c>
      <c r="I629" s="7">
        <v>0</v>
      </c>
      <c r="J629">
        <v>198</v>
      </c>
      <c r="K629" t="str">
        <f>PROPER('Original Data'!K629)</f>
        <v>Debit Card</v>
      </c>
      <c r="L629" t="s">
        <v>41</v>
      </c>
      <c r="M629" t="str" cm="1">
        <f t="array" ref="M629">_xlfn.IFS(OR('Original Data'!M629=0,'Original Data'!M629="No",'Original Data'!M629=FALSE),"No",OR('Original Data'!M629=1,'Original Data'!M629="Yes",'Original Data'!M629=TRUE),"Yes")</f>
        <v>No</v>
      </c>
    </row>
    <row r="630" spans="1:13" x14ac:dyDescent="0.2">
      <c r="A630">
        <v>629</v>
      </c>
      <c r="B630" t="s">
        <v>81</v>
      </c>
      <c r="C630" s="5">
        <v>45119</v>
      </c>
      <c r="D630" t="s">
        <v>82</v>
      </c>
      <c r="E630" t="s">
        <v>15</v>
      </c>
      <c r="F630" t="s">
        <v>44</v>
      </c>
      <c r="H630">
        <v>1</v>
      </c>
      <c r="I630" s="7">
        <v>0</v>
      </c>
      <c r="J630">
        <v>79.95</v>
      </c>
      <c r="K630" t="str">
        <f>PROPER('Original Data'!K630)</f>
        <v>Apple Pay</v>
      </c>
      <c r="L630" t="s">
        <v>63</v>
      </c>
      <c r="M630" t="str" cm="1">
        <f t="array" ref="M630">_xlfn.IFS(OR('Original Data'!M630=0,'Original Data'!M630="No",'Original Data'!M630=FALSE),"No",OR('Original Data'!M630=1,'Original Data'!M630="Yes",'Original Data'!M630=TRUE),"Yes")</f>
        <v>Yes</v>
      </c>
    </row>
    <row r="631" spans="1:13" x14ac:dyDescent="0.2">
      <c r="A631">
        <v>630</v>
      </c>
      <c r="B631" t="s">
        <v>68</v>
      </c>
      <c r="C631" s="5">
        <v>45054</v>
      </c>
      <c r="D631" t="s">
        <v>69</v>
      </c>
      <c r="E631" t="s">
        <v>33</v>
      </c>
      <c r="F631" t="s">
        <v>40</v>
      </c>
      <c r="G631" t="s">
        <v>17</v>
      </c>
      <c r="H631">
        <v>1</v>
      </c>
      <c r="I631" s="7">
        <v>0.1</v>
      </c>
      <c r="J631">
        <v>107.1</v>
      </c>
      <c r="K631" t="s">
        <v>90</v>
      </c>
      <c r="L631" t="s">
        <v>30</v>
      </c>
      <c r="M631" t="str" cm="1">
        <f t="array" ref="M631">_xlfn.IFS(OR('Original Data'!M631=0,'Original Data'!M631="No",'Original Data'!M631=FALSE),"No",OR('Original Data'!M631=1,'Original Data'!M631="Yes",'Original Data'!M631=TRUE),"Yes")</f>
        <v>No</v>
      </c>
    </row>
    <row r="632" spans="1:13" x14ac:dyDescent="0.2">
      <c r="A632">
        <v>631</v>
      </c>
      <c r="B632" t="s">
        <v>24</v>
      </c>
      <c r="C632" s="5">
        <v>45536</v>
      </c>
      <c r="D632" t="s">
        <v>87</v>
      </c>
      <c r="E632" t="s">
        <v>39</v>
      </c>
      <c r="F632" t="s">
        <v>66</v>
      </c>
      <c r="G632" t="s">
        <v>67</v>
      </c>
      <c r="H632">
        <v>4</v>
      </c>
      <c r="I632" s="7">
        <v>0.15</v>
      </c>
      <c r="J632">
        <v>152.83000000000001</v>
      </c>
      <c r="K632" t="s">
        <v>90</v>
      </c>
      <c r="L632" t="s">
        <v>45</v>
      </c>
      <c r="M632" t="str" cm="1">
        <f t="array" ref="M632">_xlfn.IFS(OR('Original Data'!M632=0,'Original Data'!M632="No",'Original Data'!M632=FALSE),"No",OR('Original Data'!M632=1,'Original Data'!M632="Yes",'Original Data'!M632=TRUE),"Yes")</f>
        <v>Yes</v>
      </c>
    </row>
    <row r="633" spans="1:13" x14ac:dyDescent="0.2">
      <c r="A633">
        <v>632</v>
      </c>
      <c r="B633" t="s">
        <v>42</v>
      </c>
      <c r="C633" s="5">
        <v>45348</v>
      </c>
      <c r="D633" t="s">
        <v>91</v>
      </c>
      <c r="E633" t="s">
        <v>15</v>
      </c>
      <c r="F633" t="s">
        <v>16</v>
      </c>
      <c r="G633" t="s">
        <v>17</v>
      </c>
      <c r="H633">
        <v>1</v>
      </c>
      <c r="I633" s="7">
        <v>0</v>
      </c>
      <c r="J633">
        <v>129</v>
      </c>
      <c r="K633" t="s">
        <v>90</v>
      </c>
      <c r="M633" t="str" cm="1">
        <f t="array" ref="M633">_xlfn.IFS(OR('Original Data'!M633=0,'Original Data'!M633="No",'Original Data'!M633=FALSE),"No",OR('Original Data'!M633=1,'Original Data'!M633="Yes",'Original Data'!M633=TRUE),"Yes")</f>
        <v>Yes</v>
      </c>
    </row>
    <row r="634" spans="1:13" x14ac:dyDescent="0.2">
      <c r="A634">
        <v>633</v>
      </c>
      <c r="B634" t="s">
        <v>37</v>
      </c>
      <c r="C634" s="5">
        <v>45127</v>
      </c>
      <c r="D634" t="s">
        <v>38</v>
      </c>
      <c r="E634" t="s">
        <v>39</v>
      </c>
      <c r="F634" t="s">
        <v>21</v>
      </c>
      <c r="G634" t="s">
        <v>22</v>
      </c>
      <c r="H634">
        <v>2</v>
      </c>
      <c r="I634" s="7">
        <v>0.25</v>
      </c>
      <c r="J634">
        <v>97.43</v>
      </c>
      <c r="K634" t="str">
        <f>PROPER('Original Data'!K634)</f>
        <v>Credit Card</v>
      </c>
      <c r="L634" t="s">
        <v>28</v>
      </c>
      <c r="M634" t="str" cm="1">
        <f t="array" ref="M634">_xlfn.IFS(OR('Original Data'!M634=0,'Original Data'!M634="No",'Original Data'!M634=FALSE),"No",OR('Original Data'!M634=1,'Original Data'!M634="Yes",'Original Data'!M634=TRUE),"Yes")</f>
        <v>Yes</v>
      </c>
    </row>
    <row r="635" spans="1:13" x14ac:dyDescent="0.2">
      <c r="A635">
        <v>634</v>
      </c>
      <c r="B635" t="s">
        <v>19</v>
      </c>
      <c r="C635" s="5">
        <v>45197</v>
      </c>
      <c r="D635" t="s">
        <v>20</v>
      </c>
      <c r="E635" t="s">
        <v>15</v>
      </c>
      <c r="F635" t="s">
        <v>40</v>
      </c>
      <c r="G635" t="s">
        <v>17</v>
      </c>
      <c r="H635">
        <v>5</v>
      </c>
      <c r="I635" s="7">
        <v>0.1</v>
      </c>
      <c r="J635">
        <v>404.78</v>
      </c>
      <c r="K635" t="str">
        <f>PROPER('Original Data'!K635)</f>
        <v>Apple Pay</v>
      </c>
      <c r="M635" t="str" cm="1">
        <f t="array" ref="M635">_xlfn.IFS(OR('Original Data'!M635=0,'Original Data'!M635="No",'Original Data'!M635=FALSE),"No",OR('Original Data'!M635=1,'Original Data'!M635="Yes",'Original Data'!M635=TRUE),"Yes")</f>
        <v>Yes</v>
      </c>
    </row>
    <row r="636" spans="1:13" x14ac:dyDescent="0.2">
      <c r="A636">
        <v>635</v>
      </c>
      <c r="B636" t="s">
        <v>78</v>
      </c>
      <c r="C636" s="5">
        <v>45512</v>
      </c>
      <c r="D636" t="s">
        <v>79</v>
      </c>
      <c r="E636" t="s">
        <v>48</v>
      </c>
      <c r="F636" t="s">
        <v>40</v>
      </c>
      <c r="G636" t="s">
        <v>17</v>
      </c>
      <c r="H636">
        <v>5</v>
      </c>
      <c r="I636" s="7">
        <v>0.15</v>
      </c>
      <c r="J636">
        <v>169.79</v>
      </c>
      <c r="K636" t="str">
        <f>PROPER('Original Data'!K636)</f>
        <v>Debit Card</v>
      </c>
      <c r="L636" t="s">
        <v>49</v>
      </c>
      <c r="M636" t="str" cm="1">
        <f t="array" ref="M636">_xlfn.IFS(OR('Original Data'!M636=0,'Original Data'!M636="No",'Original Data'!M636=FALSE),"No",OR('Original Data'!M636=1,'Original Data'!M636="Yes",'Original Data'!M636=TRUE),"Yes")</f>
        <v>Yes</v>
      </c>
    </row>
    <row r="637" spans="1:13" x14ac:dyDescent="0.2">
      <c r="A637">
        <v>636</v>
      </c>
      <c r="B637" t="s">
        <v>31</v>
      </c>
      <c r="C637" s="5">
        <v>45163</v>
      </c>
      <c r="D637" t="s">
        <v>32</v>
      </c>
      <c r="E637" t="s">
        <v>33</v>
      </c>
      <c r="F637" t="s">
        <v>21</v>
      </c>
      <c r="G637" t="s">
        <v>22</v>
      </c>
      <c r="H637">
        <v>4</v>
      </c>
      <c r="I637" s="7">
        <v>0.15</v>
      </c>
      <c r="J637">
        <v>271.83</v>
      </c>
      <c r="K637" t="str">
        <f>PROPER('Original Data'!K637)</f>
        <v>Gift Card</v>
      </c>
      <c r="L637" t="s">
        <v>45</v>
      </c>
      <c r="M637" t="str" cm="1">
        <f t="array" ref="M637">_xlfn.IFS(OR('Original Data'!M637=0,'Original Data'!M637="No",'Original Data'!M637=FALSE),"No",OR('Original Data'!M637=1,'Original Data'!M637="Yes",'Original Data'!M637=TRUE),"Yes")</f>
        <v>No</v>
      </c>
    </row>
    <row r="638" spans="1:13" x14ac:dyDescent="0.2">
      <c r="A638">
        <v>637</v>
      </c>
      <c r="B638" t="s">
        <v>88</v>
      </c>
      <c r="C638" s="5">
        <v>45374</v>
      </c>
      <c r="D638" t="str">
        <f>VLOOKUP(B638,'Original Data'!B:D,3,FALSE)</f>
        <v>Trench Coat</v>
      </c>
      <c r="E638" t="str">
        <f>_xlfn.XLOOKUP('Cleaned Data'!B621,'Original Data'!B:B,'Original Data'!E:E)</f>
        <v>GAP</v>
      </c>
      <c r="F638" t="s">
        <v>66</v>
      </c>
      <c r="G638" t="s">
        <v>67</v>
      </c>
      <c r="H638">
        <v>2</v>
      </c>
      <c r="I638" s="7">
        <v>0</v>
      </c>
      <c r="J638">
        <v>396</v>
      </c>
      <c r="K638" t="str">
        <f>PROPER('Original Data'!K638)</f>
        <v>Credit Card</v>
      </c>
      <c r="L638" t="s">
        <v>55</v>
      </c>
      <c r="M638" t="s">
        <v>92</v>
      </c>
    </row>
    <row r="639" spans="1:13" x14ac:dyDescent="0.2">
      <c r="A639">
        <v>638</v>
      </c>
      <c r="B639" t="s">
        <v>24</v>
      </c>
      <c r="C639" s="5">
        <v>45154</v>
      </c>
      <c r="D639" t="s">
        <v>87</v>
      </c>
      <c r="E639" t="s">
        <v>39</v>
      </c>
      <c r="F639" t="s">
        <v>66</v>
      </c>
      <c r="G639" t="s">
        <v>67</v>
      </c>
      <c r="H639">
        <v>3</v>
      </c>
      <c r="I639" s="7">
        <v>0</v>
      </c>
      <c r="J639">
        <v>134.85</v>
      </c>
      <c r="K639" t="str">
        <f>PROPER('Original Data'!K639)</f>
        <v>Apple Pay</v>
      </c>
      <c r="M639" t="str" cm="1">
        <f t="array" ref="M639">_xlfn.IFS(OR('Original Data'!M639=0,'Original Data'!M639="No",'Original Data'!M639=FALSE),"No",OR('Original Data'!M639=1,'Original Data'!M639="Yes",'Original Data'!M639=TRUE),"Yes")</f>
        <v>Yes</v>
      </c>
    </row>
    <row r="640" spans="1:13" x14ac:dyDescent="0.2">
      <c r="A640">
        <v>639</v>
      </c>
      <c r="B640" t="s">
        <v>13</v>
      </c>
      <c r="C640" s="5">
        <v>45537</v>
      </c>
      <c r="D640" t="s">
        <v>14</v>
      </c>
      <c r="E640" t="s">
        <v>15</v>
      </c>
      <c r="F640" t="s">
        <v>66</v>
      </c>
      <c r="G640" t="s">
        <v>67</v>
      </c>
      <c r="H640">
        <v>5</v>
      </c>
      <c r="I640" s="7">
        <v>0</v>
      </c>
      <c r="J640">
        <v>99.95</v>
      </c>
      <c r="K640" t="str">
        <f>PROPER('Original Data'!K640)</f>
        <v>Gift Card</v>
      </c>
      <c r="L640" t="s">
        <v>55</v>
      </c>
      <c r="M640" t="str" cm="1">
        <f t="array" ref="M640">_xlfn.IFS(OR('Original Data'!M640=0,'Original Data'!M640="No",'Original Data'!M640=FALSE),"No",OR('Original Data'!M640=1,'Original Data'!M640="Yes",'Original Data'!M640=TRUE),"Yes")</f>
        <v>No</v>
      </c>
    </row>
    <row r="641" spans="1:13" x14ac:dyDescent="0.2">
      <c r="A641">
        <v>640</v>
      </c>
      <c r="B641" t="s">
        <v>13</v>
      </c>
      <c r="C641" s="5">
        <v>45005</v>
      </c>
      <c r="D641" t="s">
        <v>14</v>
      </c>
      <c r="E641" t="s">
        <v>15</v>
      </c>
      <c r="F641" t="s">
        <v>44</v>
      </c>
      <c r="H641">
        <v>4</v>
      </c>
      <c r="I641" s="7">
        <v>0</v>
      </c>
      <c r="J641">
        <v>79.959999999999994</v>
      </c>
      <c r="K641" t="str">
        <f>PROPER('Original Data'!K641)</f>
        <v>Apple Pay</v>
      </c>
      <c r="M641" t="str" cm="1">
        <f t="array" ref="M641">_xlfn.IFS(OR('Original Data'!M641=0,'Original Data'!M641="No",'Original Data'!M641=FALSE),"No",OR('Original Data'!M641=1,'Original Data'!M641="Yes",'Original Data'!M641=TRUE),"Yes")</f>
        <v>No</v>
      </c>
    </row>
    <row r="642" spans="1:13" x14ac:dyDescent="0.2">
      <c r="A642">
        <v>641</v>
      </c>
      <c r="B642" t="s">
        <v>46</v>
      </c>
      <c r="C642" s="5">
        <v>45541</v>
      </c>
      <c r="D642" t="s">
        <v>47</v>
      </c>
      <c r="E642" t="s">
        <v>48</v>
      </c>
      <c r="G642" t="s">
        <v>25</v>
      </c>
      <c r="H642">
        <v>3</v>
      </c>
      <c r="I642" s="7">
        <v>0.15</v>
      </c>
      <c r="J642">
        <v>127.37</v>
      </c>
      <c r="K642" t="s">
        <v>90</v>
      </c>
      <c r="L642" t="s">
        <v>41</v>
      </c>
      <c r="M642" t="str" cm="1">
        <f t="array" ref="M642">_xlfn.IFS(OR('Original Data'!M642=0,'Original Data'!M642="No",'Original Data'!M642=FALSE),"No",OR('Original Data'!M642=1,'Original Data'!M642="Yes",'Original Data'!M642=TRUE),"Yes")</f>
        <v>No</v>
      </c>
    </row>
    <row r="643" spans="1:13" x14ac:dyDescent="0.2">
      <c r="A643">
        <v>642</v>
      </c>
      <c r="B643" t="s">
        <v>68</v>
      </c>
      <c r="C643" s="5">
        <v>45068</v>
      </c>
      <c r="D643" t="s">
        <v>69</v>
      </c>
      <c r="E643" t="s">
        <v>33</v>
      </c>
      <c r="F643" t="s">
        <v>34</v>
      </c>
      <c r="G643" t="s">
        <v>35</v>
      </c>
      <c r="H643">
        <v>1</v>
      </c>
      <c r="I643" s="7">
        <v>0.05</v>
      </c>
      <c r="J643">
        <v>113.05</v>
      </c>
      <c r="K643" t="str">
        <f>PROPER('Original Data'!K643)</f>
        <v>Cash</v>
      </c>
      <c r="L643" t="s">
        <v>23</v>
      </c>
      <c r="M643" t="str" cm="1">
        <f t="array" ref="M643">_xlfn.IFS(OR('Original Data'!M643=0,'Original Data'!M643="No",'Original Data'!M643=FALSE),"No",OR('Original Data'!M643=1,'Original Data'!M643="Yes",'Original Data'!M643=TRUE),"Yes")</f>
        <v>No</v>
      </c>
    </row>
    <row r="644" spans="1:13" x14ac:dyDescent="0.2">
      <c r="A644">
        <v>643</v>
      </c>
      <c r="B644" t="s">
        <v>83</v>
      </c>
      <c r="C644" s="5">
        <v>45104</v>
      </c>
      <c r="D644" t="s">
        <v>84</v>
      </c>
      <c r="E644" t="s">
        <v>48</v>
      </c>
      <c r="F644" t="s">
        <v>44</v>
      </c>
      <c r="H644">
        <v>4</v>
      </c>
      <c r="I644" s="7">
        <v>0.2</v>
      </c>
      <c r="J644">
        <v>159.84</v>
      </c>
      <c r="K644" t="str">
        <f>PROPER('Original Data'!K644)</f>
        <v>Cash</v>
      </c>
      <c r="L644" t="s">
        <v>63</v>
      </c>
      <c r="M644" t="str" cm="1">
        <f t="array" ref="M644">_xlfn.IFS(OR('Original Data'!M644=0,'Original Data'!M644="No",'Original Data'!M644=FALSE),"No",OR('Original Data'!M644=1,'Original Data'!M644="Yes",'Original Data'!M644=TRUE),"Yes")</f>
        <v>No</v>
      </c>
    </row>
    <row r="645" spans="1:13" x14ac:dyDescent="0.2">
      <c r="A645">
        <v>644</v>
      </c>
      <c r="B645" t="s">
        <v>85</v>
      </c>
      <c r="C645" s="5">
        <v>45564</v>
      </c>
      <c r="D645" t="str">
        <f>VLOOKUP(B645,'Original Data'!B:D,3,FALSE)</f>
        <v xml:space="preserve">Wrap Dress  </v>
      </c>
      <c r="E645" t="str">
        <f>_xlfn.XLOOKUP('Cleaned Data'!B799,'Original Data'!B:B,'Original Data'!E:E)</f>
        <v>Banana Republic</v>
      </c>
      <c r="F645" t="s">
        <v>44</v>
      </c>
      <c r="H645">
        <v>4</v>
      </c>
      <c r="I645" s="7">
        <v>0.2</v>
      </c>
      <c r="J645">
        <v>287.83999999999997</v>
      </c>
      <c r="K645" t="str">
        <f>PROPER('Original Data'!K645)</f>
        <v>Cash</v>
      </c>
      <c r="L645" t="s">
        <v>30</v>
      </c>
      <c r="M645" t="s">
        <v>92</v>
      </c>
    </row>
    <row r="646" spans="1:13" x14ac:dyDescent="0.2">
      <c r="A646">
        <v>645</v>
      </c>
      <c r="B646" t="s">
        <v>50</v>
      </c>
      <c r="C646" s="5">
        <v>45044</v>
      </c>
      <c r="D646" t="s">
        <v>51</v>
      </c>
      <c r="E646" t="s">
        <v>15</v>
      </c>
      <c r="F646" t="s">
        <v>21</v>
      </c>
      <c r="G646" t="s">
        <v>22</v>
      </c>
      <c r="H646">
        <v>5</v>
      </c>
      <c r="I646" s="7">
        <v>0.15</v>
      </c>
      <c r="J646">
        <v>297.29000000000002</v>
      </c>
      <c r="K646" t="str">
        <f>PROPER('Original Data'!K646)</f>
        <v>Credit Card</v>
      </c>
      <c r="L646" t="s">
        <v>28</v>
      </c>
      <c r="M646" t="str" cm="1">
        <f t="array" ref="M646">_xlfn.IFS(OR('Original Data'!M646=0,'Original Data'!M646="No",'Original Data'!M646=FALSE),"No",OR('Original Data'!M646=1,'Original Data'!M646="Yes",'Original Data'!M646=TRUE),"Yes")</f>
        <v>No</v>
      </c>
    </row>
    <row r="647" spans="1:13" x14ac:dyDescent="0.2">
      <c r="A647">
        <v>646</v>
      </c>
      <c r="B647" t="s">
        <v>88</v>
      </c>
      <c r="C647" s="5">
        <v>45508</v>
      </c>
      <c r="D647" t="s">
        <v>89</v>
      </c>
      <c r="E647" t="s">
        <v>33</v>
      </c>
      <c r="F647" t="s">
        <v>26</v>
      </c>
      <c r="G647" t="s">
        <v>22</v>
      </c>
      <c r="H647">
        <v>1</v>
      </c>
      <c r="I647" s="7">
        <v>0.15</v>
      </c>
      <c r="J647">
        <v>168.3</v>
      </c>
      <c r="K647" t="str">
        <f>PROPER('Original Data'!K647)</f>
        <v>Gift Card</v>
      </c>
      <c r="L647" t="s">
        <v>63</v>
      </c>
      <c r="M647" t="str" cm="1">
        <f t="array" ref="M647">_xlfn.IFS(OR('Original Data'!M647=0,'Original Data'!M647="No",'Original Data'!M647=FALSE),"No",OR('Original Data'!M647=1,'Original Data'!M647="Yes",'Original Data'!M647=TRUE),"Yes")</f>
        <v>No</v>
      </c>
    </row>
    <row r="648" spans="1:13" x14ac:dyDescent="0.2">
      <c r="A648">
        <v>647</v>
      </c>
      <c r="B648" t="s">
        <v>81</v>
      </c>
      <c r="C648" s="5">
        <v>45129</v>
      </c>
      <c r="D648" t="s">
        <v>82</v>
      </c>
      <c r="E648" t="s">
        <v>15</v>
      </c>
      <c r="G648" t="s">
        <v>25</v>
      </c>
      <c r="H648">
        <v>4</v>
      </c>
      <c r="I648" s="7">
        <v>0.2</v>
      </c>
      <c r="J648">
        <v>255.84</v>
      </c>
      <c r="K648" t="str">
        <f>PROPER('Original Data'!K648)</f>
        <v>Cash</v>
      </c>
      <c r="L648" t="s">
        <v>49</v>
      </c>
      <c r="M648" t="str" cm="1">
        <f t="array" ref="M648">_xlfn.IFS(OR('Original Data'!M648=0,'Original Data'!M648="No",'Original Data'!M648=FALSE),"No",OR('Original Data'!M648=1,'Original Data'!M648="Yes",'Original Data'!M648=TRUE),"Yes")</f>
        <v>Yes</v>
      </c>
    </row>
    <row r="649" spans="1:13" x14ac:dyDescent="0.2">
      <c r="A649">
        <v>648</v>
      </c>
      <c r="B649" t="s">
        <v>81</v>
      </c>
      <c r="C649" s="5">
        <v>45516</v>
      </c>
      <c r="D649" t="s">
        <v>82</v>
      </c>
      <c r="E649" t="s">
        <v>15</v>
      </c>
      <c r="F649" t="s">
        <v>34</v>
      </c>
      <c r="G649" t="s">
        <v>35</v>
      </c>
      <c r="H649">
        <v>1</v>
      </c>
      <c r="I649" s="7">
        <v>0.1</v>
      </c>
      <c r="J649">
        <v>71.959999999999994</v>
      </c>
      <c r="K649" t="str">
        <f>PROPER('Original Data'!K649)</f>
        <v>Apple Pay</v>
      </c>
      <c r="M649" t="str" cm="1">
        <f t="array" ref="M649">_xlfn.IFS(OR('Original Data'!M649=0,'Original Data'!M649="No",'Original Data'!M649=FALSE),"No",OR('Original Data'!M649=1,'Original Data'!M649="Yes",'Original Data'!M649=TRUE),"Yes")</f>
        <v>Yes</v>
      </c>
    </row>
    <row r="650" spans="1:13" x14ac:dyDescent="0.2">
      <c r="A650">
        <v>649</v>
      </c>
      <c r="B650" t="s">
        <v>83</v>
      </c>
      <c r="C650" s="5">
        <v>45251</v>
      </c>
      <c r="D650" t="s">
        <v>84</v>
      </c>
      <c r="E650" t="s">
        <v>48</v>
      </c>
      <c r="F650" t="s">
        <v>16</v>
      </c>
      <c r="G650" t="s">
        <v>17</v>
      </c>
      <c r="H650">
        <v>1</v>
      </c>
      <c r="I650" s="7">
        <v>0.2</v>
      </c>
      <c r="J650">
        <v>39.96</v>
      </c>
      <c r="K650" t="str">
        <f>PROPER('Original Data'!K650)</f>
        <v>Cash</v>
      </c>
      <c r="L650" t="s">
        <v>30</v>
      </c>
      <c r="M650" t="str" cm="1">
        <f t="array" ref="M650">_xlfn.IFS(OR('Original Data'!M650=0,'Original Data'!M650="No",'Original Data'!M650=FALSE),"No",OR('Original Data'!M650=1,'Original Data'!M650="Yes",'Original Data'!M650=TRUE),"Yes")</f>
        <v>No</v>
      </c>
    </row>
    <row r="651" spans="1:13" x14ac:dyDescent="0.2">
      <c r="A651">
        <v>650</v>
      </c>
      <c r="B651" t="s">
        <v>68</v>
      </c>
      <c r="C651" s="5">
        <v>44975</v>
      </c>
      <c r="D651" t="s">
        <v>69</v>
      </c>
      <c r="E651" t="s">
        <v>33</v>
      </c>
      <c r="F651" t="s">
        <v>16</v>
      </c>
      <c r="G651" t="s">
        <v>17</v>
      </c>
      <c r="H651">
        <v>5</v>
      </c>
      <c r="I651" s="7">
        <v>0</v>
      </c>
      <c r="J651">
        <v>595</v>
      </c>
      <c r="K651" t="str">
        <f>PROPER('Original Data'!K651)</f>
        <v>Debit Card</v>
      </c>
      <c r="L651" t="s">
        <v>23</v>
      </c>
      <c r="M651" t="str" cm="1">
        <f t="array" ref="M651">_xlfn.IFS(OR('Original Data'!M651=0,'Original Data'!M651="No",'Original Data'!M651=FALSE),"No",OR('Original Data'!M651=1,'Original Data'!M651="Yes",'Original Data'!M651=TRUE),"Yes")</f>
        <v>No</v>
      </c>
    </row>
    <row r="652" spans="1:13" x14ac:dyDescent="0.2">
      <c r="A652">
        <v>651</v>
      </c>
      <c r="B652" t="s">
        <v>58</v>
      </c>
      <c r="C652" s="5">
        <v>45238</v>
      </c>
      <c r="D652" t="s">
        <v>59</v>
      </c>
      <c r="E652" t="s">
        <v>15</v>
      </c>
      <c r="F652" t="s">
        <v>26</v>
      </c>
      <c r="G652" t="s">
        <v>22</v>
      </c>
      <c r="H652">
        <v>3</v>
      </c>
      <c r="I652" s="7">
        <v>0</v>
      </c>
      <c r="J652">
        <v>179.85</v>
      </c>
      <c r="K652" t="str">
        <f>PROPER('Original Data'!K652)</f>
        <v>Credit Card</v>
      </c>
      <c r="L652" t="s">
        <v>55</v>
      </c>
      <c r="M652" t="str" cm="1">
        <f t="array" ref="M652">_xlfn.IFS(OR('Original Data'!M652=0,'Original Data'!M652="No",'Original Data'!M652=FALSE),"No",OR('Original Data'!M652=1,'Original Data'!M652="Yes",'Original Data'!M652=TRUE),"Yes")</f>
        <v>Yes</v>
      </c>
    </row>
    <row r="653" spans="1:13" x14ac:dyDescent="0.2">
      <c r="A653">
        <v>652</v>
      </c>
      <c r="B653" t="s">
        <v>61</v>
      </c>
      <c r="C653" s="5">
        <v>45052</v>
      </c>
      <c r="D653" t="s">
        <v>62</v>
      </c>
      <c r="E653" t="s">
        <v>33</v>
      </c>
      <c r="F653" t="s">
        <v>40</v>
      </c>
      <c r="G653" t="s">
        <v>17</v>
      </c>
      <c r="H653">
        <v>5</v>
      </c>
      <c r="I653" s="7">
        <v>0.2</v>
      </c>
      <c r="J653">
        <v>139.96</v>
      </c>
      <c r="K653" t="str">
        <f>PROPER('Original Data'!K653)</f>
        <v>Apple Pay</v>
      </c>
      <c r="L653" t="s">
        <v>41</v>
      </c>
      <c r="M653" t="str" cm="1">
        <f t="array" ref="M653">_xlfn.IFS(OR('Original Data'!M653=0,'Original Data'!M653="No",'Original Data'!M653=FALSE),"No",OR('Original Data'!M653=1,'Original Data'!M653="Yes",'Original Data'!M653=TRUE),"Yes")</f>
        <v>No</v>
      </c>
    </row>
    <row r="654" spans="1:13" x14ac:dyDescent="0.2">
      <c r="A654">
        <v>653</v>
      </c>
      <c r="B654" t="s">
        <v>42</v>
      </c>
      <c r="C654" s="5">
        <v>45006</v>
      </c>
      <c r="D654" t="s">
        <v>91</v>
      </c>
      <c r="E654" t="s">
        <v>15</v>
      </c>
      <c r="F654" t="s">
        <v>53</v>
      </c>
      <c r="G654" t="s">
        <v>54</v>
      </c>
      <c r="H654">
        <v>3</v>
      </c>
      <c r="J654">
        <v>387</v>
      </c>
      <c r="K654" t="str">
        <f>PROPER('Original Data'!K654)</f>
        <v>Apple Pay</v>
      </c>
      <c r="L654" t="s">
        <v>63</v>
      </c>
      <c r="M654" t="str" cm="1">
        <f t="array" ref="M654">_xlfn.IFS(OR('Original Data'!M654=0,'Original Data'!M654="No",'Original Data'!M654=FALSE),"No",OR('Original Data'!M654=1,'Original Data'!M654="Yes",'Original Data'!M654=TRUE),"Yes")</f>
        <v>Yes</v>
      </c>
    </row>
    <row r="655" spans="1:13" x14ac:dyDescent="0.2">
      <c r="A655">
        <v>654</v>
      </c>
      <c r="B655" t="s">
        <v>50</v>
      </c>
      <c r="C655" s="5">
        <v>45151</v>
      </c>
      <c r="D655" t="str">
        <f>VLOOKUP(B655,'Original Data'!B:D,3,FALSE)</f>
        <v>High-Rise Jeans</v>
      </c>
      <c r="E655" t="str">
        <f>_xlfn.XLOOKUP('Cleaned Data'!B563,'Original Data'!B:B,'Original Data'!E:E)</f>
        <v>GAP</v>
      </c>
      <c r="F655" t="s">
        <v>40</v>
      </c>
      <c r="G655" t="s">
        <v>17</v>
      </c>
      <c r="H655">
        <v>4</v>
      </c>
      <c r="I655" s="7">
        <v>0</v>
      </c>
      <c r="J655">
        <v>279.8</v>
      </c>
      <c r="K655" t="str">
        <f>PROPER('Original Data'!K655)</f>
        <v>Debit Card</v>
      </c>
      <c r="L655" t="s">
        <v>55</v>
      </c>
      <c r="M655" t="s">
        <v>92</v>
      </c>
    </row>
    <row r="656" spans="1:13" x14ac:dyDescent="0.2">
      <c r="A656">
        <v>655</v>
      </c>
      <c r="B656" t="s">
        <v>61</v>
      </c>
      <c r="C656" s="5">
        <v>44943</v>
      </c>
      <c r="D656" t="s">
        <v>62</v>
      </c>
      <c r="E656" t="s">
        <v>33</v>
      </c>
      <c r="F656" t="s">
        <v>16</v>
      </c>
      <c r="G656" t="s">
        <v>17</v>
      </c>
      <c r="H656">
        <v>4</v>
      </c>
      <c r="I656" s="7">
        <v>0</v>
      </c>
      <c r="J656">
        <v>139.96</v>
      </c>
      <c r="K656" t="str">
        <f>PROPER('Original Data'!K656)</f>
        <v>Debit Card</v>
      </c>
      <c r="L656" t="s">
        <v>55</v>
      </c>
      <c r="M656" t="str" cm="1">
        <f t="array" ref="M656">_xlfn.IFS(OR('Original Data'!M656=0,'Original Data'!M656="No",'Original Data'!M656=FALSE),"No",OR('Original Data'!M656=1,'Original Data'!M656="Yes",'Original Data'!M656=TRUE),"Yes")</f>
        <v>No</v>
      </c>
    </row>
    <row r="657" spans="1:13" x14ac:dyDescent="0.2">
      <c r="A657">
        <v>656</v>
      </c>
      <c r="B657" t="s">
        <v>37</v>
      </c>
      <c r="C657" s="5">
        <v>45268</v>
      </c>
      <c r="D657" t="s">
        <v>38</v>
      </c>
      <c r="E657" t="s">
        <v>39</v>
      </c>
      <c r="F657" t="s">
        <v>21</v>
      </c>
      <c r="G657" t="s">
        <v>22</v>
      </c>
      <c r="H657">
        <v>2</v>
      </c>
      <c r="I657" s="7">
        <v>0.2</v>
      </c>
      <c r="J657">
        <v>103.92</v>
      </c>
      <c r="K657" t="s">
        <v>90</v>
      </c>
      <c r="L657" t="s">
        <v>28</v>
      </c>
      <c r="M657" t="str" cm="1">
        <f t="array" ref="M657">_xlfn.IFS(OR('Original Data'!M657=0,'Original Data'!M657="No",'Original Data'!M657=FALSE),"No",OR('Original Data'!M657=1,'Original Data'!M657="Yes",'Original Data'!M657=TRUE),"Yes")</f>
        <v>Yes</v>
      </c>
    </row>
    <row r="658" spans="1:13" x14ac:dyDescent="0.2">
      <c r="A658">
        <v>657</v>
      </c>
      <c r="B658" t="s">
        <v>78</v>
      </c>
      <c r="C658" s="5">
        <v>45624</v>
      </c>
      <c r="D658" t="s">
        <v>79</v>
      </c>
      <c r="E658" t="s">
        <v>48</v>
      </c>
      <c r="F658" t="s">
        <v>53</v>
      </c>
      <c r="G658" t="s">
        <v>54</v>
      </c>
      <c r="H658">
        <v>5</v>
      </c>
      <c r="I658" s="7">
        <v>0</v>
      </c>
      <c r="J658">
        <v>199.75</v>
      </c>
      <c r="K658" t="str">
        <f>PROPER('Original Data'!K658)</f>
        <v>Credit Card</v>
      </c>
      <c r="L658" t="s">
        <v>28</v>
      </c>
      <c r="M658" t="str" cm="1">
        <f t="array" ref="M658">_xlfn.IFS(OR('Original Data'!M658=0,'Original Data'!M658="No",'Original Data'!M658=FALSE),"No",OR('Original Data'!M658=1,'Original Data'!M658="Yes",'Original Data'!M658=TRUE),"Yes")</f>
        <v>Yes</v>
      </c>
    </row>
    <row r="659" spans="1:13" x14ac:dyDescent="0.2">
      <c r="A659">
        <v>658</v>
      </c>
      <c r="B659" t="s">
        <v>74</v>
      </c>
      <c r="C659" s="5">
        <v>45635</v>
      </c>
      <c r="D659" t="s">
        <v>75</v>
      </c>
      <c r="E659" t="s">
        <v>76</v>
      </c>
      <c r="F659" t="s">
        <v>21</v>
      </c>
      <c r="G659" t="s">
        <v>22</v>
      </c>
      <c r="H659">
        <v>4</v>
      </c>
      <c r="I659" s="7">
        <v>0</v>
      </c>
      <c r="J659">
        <v>179.8</v>
      </c>
      <c r="K659" t="str">
        <f>PROPER('Original Data'!K659)</f>
        <v>Apple Pay</v>
      </c>
      <c r="M659" t="str" cm="1">
        <f t="array" ref="M659">_xlfn.IFS(OR('Original Data'!M659=0,'Original Data'!M659="No",'Original Data'!M659=FALSE),"No",OR('Original Data'!M659=1,'Original Data'!M659="Yes",'Original Data'!M659=TRUE),"Yes")</f>
        <v>No</v>
      </c>
    </row>
    <row r="660" spans="1:13" x14ac:dyDescent="0.2">
      <c r="A660">
        <v>659</v>
      </c>
      <c r="B660" t="s">
        <v>50</v>
      </c>
      <c r="C660" s="5">
        <v>44998</v>
      </c>
      <c r="D660" t="str">
        <f>VLOOKUP(B660,'Original Data'!B:D,3,FALSE)</f>
        <v>High-Rise Jeans</v>
      </c>
      <c r="E660" t="str">
        <f>_xlfn.XLOOKUP('Cleaned Data'!B564,'Original Data'!B:B,'Original Data'!E:E)</f>
        <v>GAP</v>
      </c>
      <c r="F660" t="s">
        <v>44</v>
      </c>
      <c r="H660">
        <v>2</v>
      </c>
      <c r="I660" s="7">
        <v>0</v>
      </c>
      <c r="J660">
        <v>139.9</v>
      </c>
      <c r="K660" t="str">
        <f>PROPER('Original Data'!K660)</f>
        <v>Apple Pay</v>
      </c>
      <c r="L660" t="s">
        <v>49</v>
      </c>
      <c r="M660" t="s">
        <v>92</v>
      </c>
    </row>
    <row r="661" spans="1:13" x14ac:dyDescent="0.2">
      <c r="A661">
        <v>660</v>
      </c>
      <c r="B661" t="s">
        <v>13</v>
      </c>
      <c r="C661" s="5">
        <v>44928</v>
      </c>
      <c r="D661" t="s">
        <v>14</v>
      </c>
      <c r="E661" t="s">
        <v>15</v>
      </c>
      <c r="F661" t="s">
        <v>66</v>
      </c>
      <c r="G661" t="s">
        <v>67</v>
      </c>
      <c r="H661">
        <v>5</v>
      </c>
      <c r="I661" s="7">
        <v>0</v>
      </c>
      <c r="J661">
        <v>99.95</v>
      </c>
      <c r="K661" t="s">
        <v>90</v>
      </c>
      <c r="L661" t="s">
        <v>41</v>
      </c>
      <c r="M661" t="str" cm="1">
        <f t="array" ref="M661">_xlfn.IFS(OR('Original Data'!M661=0,'Original Data'!M661="No",'Original Data'!M661=FALSE),"No",OR('Original Data'!M661=1,'Original Data'!M661="Yes",'Original Data'!M661=TRUE),"Yes")</f>
        <v>No</v>
      </c>
    </row>
    <row r="662" spans="1:13" x14ac:dyDescent="0.2">
      <c r="A662">
        <v>661</v>
      </c>
      <c r="B662" t="s">
        <v>46</v>
      </c>
      <c r="C662" s="5">
        <v>45286</v>
      </c>
      <c r="D662" t="s">
        <v>47</v>
      </c>
      <c r="E662" t="s">
        <v>48</v>
      </c>
      <c r="F662" t="s">
        <v>16</v>
      </c>
      <c r="G662" t="s">
        <v>17</v>
      </c>
      <c r="H662">
        <v>3</v>
      </c>
      <c r="I662" s="7">
        <v>0</v>
      </c>
      <c r="J662">
        <v>149.85</v>
      </c>
      <c r="K662" t="str">
        <f>PROPER('Original Data'!K662)</f>
        <v>Gift Card</v>
      </c>
      <c r="L662" t="s">
        <v>41</v>
      </c>
      <c r="M662" t="str" cm="1">
        <f t="array" ref="M662">_xlfn.IFS(OR('Original Data'!M662=0,'Original Data'!M662="No",'Original Data'!M662=FALSE),"No",OR('Original Data'!M662=1,'Original Data'!M662="Yes",'Original Data'!M662=TRUE),"Yes")</f>
        <v>No</v>
      </c>
    </row>
    <row r="663" spans="1:13" x14ac:dyDescent="0.2">
      <c r="A663">
        <v>662</v>
      </c>
      <c r="B663" t="s">
        <v>46</v>
      </c>
      <c r="C663" s="5">
        <v>45152</v>
      </c>
      <c r="D663" t="s">
        <v>47</v>
      </c>
      <c r="E663" t="s">
        <v>48</v>
      </c>
      <c r="F663" t="s">
        <v>44</v>
      </c>
      <c r="H663">
        <v>3</v>
      </c>
      <c r="I663" s="7">
        <v>0</v>
      </c>
      <c r="J663">
        <v>149.85</v>
      </c>
      <c r="K663" t="str">
        <f>PROPER('Original Data'!K663)</f>
        <v>Gift Card</v>
      </c>
      <c r="L663" t="s">
        <v>45</v>
      </c>
      <c r="M663" t="str" cm="1">
        <f t="array" ref="M663">_xlfn.IFS(OR('Original Data'!M663=0,'Original Data'!M663="No",'Original Data'!M663=FALSE),"No",OR('Original Data'!M663=1,'Original Data'!M663="Yes",'Original Data'!M663=TRUE),"Yes")</f>
        <v>No</v>
      </c>
    </row>
    <row r="664" spans="1:13" x14ac:dyDescent="0.2">
      <c r="A664">
        <v>663</v>
      </c>
      <c r="B664" t="s">
        <v>46</v>
      </c>
      <c r="C664" s="5">
        <v>45622</v>
      </c>
      <c r="D664" t="str">
        <f>VLOOKUP(B664,'Original Data'!B:D,3,FALSE)</f>
        <v>Canvas Sneakers</v>
      </c>
      <c r="E664" t="str">
        <f>_xlfn.XLOOKUP('Cleaned Data'!B201,'Original Data'!B:B,'Original Data'!E:E)</f>
        <v>GAP</v>
      </c>
      <c r="F664" t="s">
        <v>21</v>
      </c>
      <c r="G664" t="s">
        <v>22</v>
      </c>
      <c r="H664">
        <v>3</v>
      </c>
      <c r="I664" s="7">
        <v>0.25</v>
      </c>
      <c r="J664">
        <v>112.39</v>
      </c>
      <c r="K664" t="str">
        <f>PROPER('Original Data'!K664)</f>
        <v>Cash</v>
      </c>
      <c r="L664" t="s">
        <v>45</v>
      </c>
      <c r="M664" t="s">
        <v>92</v>
      </c>
    </row>
    <row r="665" spans="1:13" x14ac:dyDescent="0.2">
      <c r="A665">
        <v>664</v>
      </c>
      <c r="B665" t="s">
        <v>85</v>
      </c>
      <c r="C665" s="5">
        <v>44935</v>
      </c>
      <c r="D665" t="s">
        <v>86</v>
      </c>
      <c r="E665" t="s">
        <v>76</v>
      </c>
      <c r="F665" t="s">
        <v>16</v>
      </c>
      <c r="G665" t="s">
        <v>17</v>
      </c>
      <c r="H665">
        <v>4</v>
      </c>
      <c r="I665" s="7">
        <v>0.15</v>
      </c>
      <c r="J665">
        <v>305.83</v>
      </c>
      <c r="K665" t="str">
        <f>PROPER('Original Data'!K665)</f>
        <v>Credit Card</v>
      </c>
      <c r="L665" t="s">
        <v>30</v>
      </c>
      <c r="M665" t="str" cm="1">
        <f t="array" ref="M665">_xlfn.IFS(OR('Original Data'!M665=0,'Original Data'!M665="No",'Original Data'!M665=FALSE),"No",OR('Original Data'!M665=1,'Original Data'!M665="Yes",'Original Data'!M665=TRUE),"Yes")</f>
        <v>Yes</v>
      </c>
    </row>
    <row r="666" spans="1:13" x14ac:dyDescent="0.2">
      <c r="A666">
        <v>665</v>
      </c>
      <c r="B666" t="s">
        <v>50</v>
      </c>
      <c r="C666" s="5">
        <v>44968</v>
      </c>
      <c r="D666" t="s">
        <v>51</v>
      </c>
      <c r="E666" t="s">
        <v>15</v>
      </c>
      <c r="F666" t="s">
        <v>44</v>
      </c>
      <c r="H666">
        <v>1</v>
      </c>
      <c r="I666" s="7">
        <v>0.1</v>
      </c>
      <c r="J666">
        <v>62.96</v>
      </c>
      <c r="K666" t="str">
        <f>PROPER('Original Data'!K666)</f>
        <v>Gift Card</v>
      </c>
      <c r="M666" t="str" cm="1">
        <f t="array" ref="M666">_xlfn.IFS(OR('Original Data'!M666=0,'Original Data'!M666="No",'Original Data'!M666=FALSE),"No",OR('Original Data'!M666=1,'Original Data'!M666="Yes",'Original Data'!M666=TRUE),"Yes")</f>
        <v>No</v>
      </c>
    </row>
    <row r="667" spans="1:13" x14ac:dyDescent="0.2">
      <c r="A667">
        <v>666</v>
      </c>
      <c r="B667" t="s">
        <v>50</v>
      </c>
      <c r="C667" s="5">
        <v>45204</v>
      </c>
      <c r="D667" t="s">
        <v>51</v>
      </c>
      <c r="E667" t="s">
        <v>15</v>
      </c>
      <c r="F667" t="s">
        <v>40</v>
      </c>
      <c r="G667" t="s">
        <v>17</v>
      </c>
      <c r="H667">
        <v>5</v>
      </c>
      <c r="I667" s="7">
        <v>0</v>
      </c>
      <c r="J667">
        <v>349.75</v>
      </c>
      <c r="K667" t="str">
        <f>PROPER('Original Data'!K667)</f>
        <v>Apple Pay</v>
      </c>
      <c r="L667" t="s">
        <v>55</v>
      </c>
      <c r="M667" t="str" cm="1">
        <f t="array" ref="M667">_xlfn.IFS(OR('Original Data'!M667=0,'Original Data'!M667="No",'Original Data'!M667=FALSE),"No",OR('Original Data'!M667=1,'Original Data'!M667="Yes",'Original Data'!M667=TRUE),"Yes")</f>
        <v>No</v>
      </c>
    </row>
    <row r="668" spans="1:13" x14ac:dyDescent="0.2">
      <c r="A668">
        <v>667</v>
      </c>
      <c r="B668" t="s">
        <v>85</v>
      </c>
      <c r="C668" s="5">
        <v>45538</v>
      </c>
      <c r="D668" t="s">
        <v>86</v>
      </c>
      <c r="E668" t="s">
        <v>76</v>
      </c>
      <c r="F668" t="s">
        <v>21</v>
      </c>
      <c r="G668" t="s">
        <v>22</v>
      </c>
      <c r="H668">
        <v>4</v>
      </c>
      <c r="I668" s="7">
        <v>0</v>
      </c>
      <c r="J668">
        <v>359.8</v>
      </c>
      <c r="K668" t="str">
        <f>PROPER('Original Data'!K668)</f>
        <v>Cash</v>
      </c>
      <c r="L668" t="s">
        <v>30</v>
      </c>
      <c r="M668" t="str" cm="1">
        <f t="array" ref="M668">_xlfn.IFS(OR('Original Data'!M668=0,'Original Data'!M668="No",'Original Data'!M668=FALSE),"No",OR('Original Data'!M668=1,'Original Data'!M668="Yes",'Original Data'!M668=TRUE),"Yes")</f>
        <v>Yes</v>
      </c>
    </row>
    <row r="669" spans="1:13" x14ac:dyDescent="0.2">
      <c r="A669">
        <v>668</v>
      </c>
      <c r="B669" t="s">
        <v>50</v>
      </c>
      <c r="C669" s="5">
        <v>45570</v>
      </c>
      <c r="D669" t="s">
        <v>51</v>
      </c>
      <c r="E669" t="s">
        <v>15</v>
      </c>
      <c r="F669" t="s">
        <v>34</v>
      </c>
      <c r="G669" t="s">
        <v>35</v>
      </c>
      <c r="H669">
        <v>3</v>
      </c>
      <c r="I669" s="7">
        <v>0</v>
      </c>
      <c r="J669">
        <v>209.85</v>
      </c>
      <c r="K669" t="s">
        <v>90</v>
      </c>
      <c r="L669" t="s">
        <v>30</v>
      </c>
      <c r="M669" t="str" cm="1">
        <f t="array" ref="M669">_xlfn.IFS(OR('Original Data'!M669=0,'Original Data'!M669="No",'Original Data'!M669=FALSE),"No",OR('Original Data'!M669=1,'Original Data'!M669="Yes",'Original Data'!M669=TRUE),"Yes")</f>
        <v>No</v>
      </c>
    </row>
    <row r="670" spans="1:13" x14ac:dyDescent="0.2">
      <c r="A670">
        <v>669</v>
      </c>
      <c r="B670" t="s">
        <v>24</v>
      </c>
      <c r="C670" s="5">
        <v>45347</v>
      </c>
      <c r="D670" t="s">
        <v>87</v>
      </c>
      <c r="E670" t="s">
        <v>39</v>
      </c>
      <c r="G670" t="s">
        <v>25</v>
      </c>
      <c r="H670">
        <v>3</v>
      </c>
      <c r="I670" s="7">
        <v>0.2</v>
      </c>
      <c r="J670">
        <v>107.88</v>
      </c>
      <c r="K670" t="str">
        <f>PROPER('Original Data'!K670)</f>
        <v>Gift Card</v>
      </c>
      <c r="L670" t="s">
        <v>41</v>
      </c>
      <c r="M670" t="str" cm="1">
        <f t="array" ref="M670">_xlfn.IFS(OR('Original Data'!M670=0,'Original Data'!M670="No",'Original Data'!M670=FALSE),"No",OR('Original Data'!M670=1,'Original Data'!M670="Yes",'Original Data'!M670=TRUE),"Yes")</f>
        <v>Yes</v>
      </c>
    </row>
    <row r="671" spans="1:13" x14ac:dyDescent="0.2">
      <c r="A671">
        <v>670</v>
      </c>
      <c r="B671" t="s">
        <v>61</v>
      </c>
      <c r="C671" s="5">
        <v>45055</v>
      </c>
      <c r="D671" t="s">
        <v>62</v>
      </c>
      <c r="E671" t="s">
        <v>33</v>
      </c>
      <c r="F671" t="s">
        <v>40</v>
      </c>
      <c r="G671" t="s">
        <v>17</v>
      </c>
      <c r="H671">
        <v>5</v>
      </c>
      <c r="I671" s="7">
        <v>0.1</v>
      </c>
      <c r="J671">
        <v>157.46</v>
      </c>
      <c r="K671" t="str">
        <f>PROPER('Original Data'!K671)</f>
        <v>Gift Card</v>
      </c>
      <c r="L671" t="s">
        <v>23</v>
      </c>
      <c r="M671" t="str" cm="1">
        <f t="array" ref="M671">_xlfn.IFS(OR('Original Data'!M671=0,'Original Data'!M671="No",'Original Data'!M671=FALSE),"No",OR('Original Data'!M671=1,'Original Data'!M671="Yes",'Original Data'!M671=TRUE),"Yes")</f>
        <v>No</v>
      </c>
    </row>
    <row r="672" spans="1:13" x14ac:dyDescent="0.2">
      <c r="A672">
        <v>671</v>
      </c>
      <c r="B672" t="s">
        <v>88</v>
      </c>
      <c r="C672" s="5">
        <v>45420</v>
      </c>
      <c r="D672" t="s">
        <v>89</v>
      </c>
      <c r="E672" t="s">
        <v>33</v>
      </c>
      <c r="F672" t="s">
        <v>16</v>
      </c>
      <c r="G672" t="s">
        <v>17</v>
      </c>
      <c r="H672">
        <v>5</v>
      </c>
      <c r="I672" s="7">
        <v>0</v>
      </c>
      <c r="J672">
        <v>990</v>
      </c>
      <c r="K672" t="s">
        <v>90</v>
      </c>
      <c r="M672" t="str" cm="1">
        <f t="array" ref="M672">_xlfn.IFS(OR('Original Data'!M672=0,'Original Data'!M672="No",'Original Data'!M672=FALSE),"No",OR('Original Data'!M672=1,'Original Data'!M672="Yes",'Original Data'!M672=TRUE),"Yes")</f>
        <v>No</v>
      </c>
    </row>
    <row r="673" spans="1:13" x14ac:dyDescent="0.2">
      <c r="A673">
        <v>672</v>
      </c>
      <c r="B673" t="s">
        <v>56</v>
      </c>
      <c r="C673" s="5">
        <v>45582</v>
      </c>
      <c r="D673" t="s">
        <v>57</v>
      </c>
      <c r="E673" t="s">
        <v>48</v>
      </c>
      <c r="F673" t="s">
        <v>66</v>
      </c>
      <c r="G673" t="s">
        <v>67</v>
      </c>
      <c r="H673">
        <v>4</v>
      </c>
      <c r="I673" s="7">
        <v>0</v>
      </c>
      <c r="J673">
        <v>340</v>
      </c>
      <c r="K673" t="str">
        <f>PROPER('Original Data'!K673)</f>
        <v>Apple Pay</v>
      </c>
      <c r="M673" t="str" cm="1">
        <f t="array" ref="M673">_xlfn.IFS(OR('Original Data'!M673=0,'Original Data'!M673="No",'Original Data'!M673=FALSE),"No",OR('Original Data'!M673=1,'Original Data'!M673="Yes",'Original Data'!M673=TRUE),"Yes")</f>
        <v>Yes</v>
      </c>
    </row>
    <row r="674" spans="1:13" x14ac:dyDescent="0.2">
      <c r="A674">
        <v>673</v>
      </c>
      <c r="B674" t="s">
        <v>78</v>
      </c>
      <c r="C674" s="5">
        <v>45412</v>
      </c>
      <c r="D674" t="s">
        <v>79</v>
      </c>
      <c r="E674" t="s">
        <v>48</v>
      </c>
      <c r="F674" t="s">
        <v>16</v>
      </c>
      <c r="G674" t="s">
        <v>17</v>
      </c>
      <c r="H674">
        <v>1</v>
      </c>
      <c r="I674" s="7">
        <v>0.05</v>
      </c>
      <c r="J674">
        <v>37.950000000000003</v>
      </c>
      <c r="K674" t="str">
        <f>PROPER('Original Data'!K674)</f>
        <v>Credit Card</v>
      </c>
      <c r="L674" t="s">
        <v>63</v>
      </c>
      <c r="M674" t="str" cm="1">
        <f t="array" ref="M674">_xlfn.IFS(OR('Original Data'!M674=0,'Original Data'!M674="No",'Original Data'!M674=FALSE),"No",OR('Original Data'!M674=1,'Original Data'!M674="Yes",'Original Data'!M674=TRUE),"Yes")</f>
        <v>Yes</v>
      </c>
    </row>
    <row r="675" spans="1:13" x14ac:dyDescent="0.2">
      <c r="A675">
        <v>674</v>
      </c>
      <c r="B675" t="s">
        <v>71</v>
      </c>
      <c r="C675" s="5">
        <v>45578</v>
      </c>
      <c r="D675" t="s">
        <v>72</v>
      </c>
      <c r="E675" t="s">
        <v>33</v>
      </c>
      <c r="F675" t="s">
        <v>53</v>
      </c>
      <c r="G675" t="s">
        <v>54</v>
      </c>
      <c r="H675">
        <v>4</v>
      </c>
      <c r="I675" s="7">
        <v>0</v>
      </c>
      <c r="J675">
        <v>239.8</v>
      </c>
      <c r="K675" t="str">
        <f>PROPER('Original Data'!K675)</f>
        <v>Debit Card</v>
      </c>
      <c r="L675" t="s">
        <v>28</v>
      </c>
      <c r="M675" t="str" cm="1">
        <f t="array" ref="M675">_xlfn.IFS(OR('Original Data'!M675=0,'Original Data'!M675="No",'Original Data'!M675=FALSE),"No",OR('Original Data'!M675=1,'Original Data'!M675="Yes",'Original Data'!M675=TRUE),"Yes")</f>
        <v>Yes</v>
      </c>
    </row>
    <row r="676" spans="1:13" x14ac:dyDescent="0.2">
      <c r="A676">
        <v>675</v>
      </c>
      <c r="B676" t="s">
        <v>81</v>
      </c>
      <c r="C676" s="5">
        <v>45322</v>
      </c>
      <c r="D676" t="s">
        <v>82</v>
      </c>
      <c r="E676" t="s">
        <v>15</v>
      </c>
      <c r="F676" t="s">
        <v>16</v>
      </c>
      <c r="G676" t="s">
        <v>17</v>
      </c>
      <c r="H676">
        <v>4</v>
      </c>
      <c r="I676" s="7">
        <v>0.15</v>
      </c>
      <c r="J676">
        <v>271.83</v>
      </c>
      <c r="K676" t="str">
        <f>PROPER('Original Data'!K676)</f>
        <v>Gift Card</v>
      </c>
      <c r="L676" t="s">
        <v>30</v>
      </c>
      <c r="M676" t="str" cm="1">
        <f t="array" ref="M676">_xlfn.IFS(OR('Original Data'!M676=0,'Original Data'!M676="No",'Original Data'!M676=FALSE),"No",OR('Original Data'!M676=1,'Original Data'!M676="Yes",'Original Data'!M676=TRUE),"Yes")</f>
        <v>Yes</v>
      </c>
    </row>
    <row r="677" spans="1:13" x14ac:dyDescent="0.2">
      <c r="A677">
        <v>676</v>
      </c>
      <c r="B677" t="s">
        <v>71</v>
      </c>
      <c r="C677" s="5">
        <v>45406</v>
      </c>
      <c r="D677" t="s">
        <v>72</v>
      </c>
      <c r="E677" t="s">
        <v>33</v>
      </c>
      <c r="F677" t="s">
        <v>26</v>
      </c>
      <c r="G677" t="s">
        <v>22</v>
      </c>
      <c r="H677">
        <v>4</v>
      </c>
      <c r="I677" s="7">
        <v>0</v>
      </c>
      <c r="J677">
        <v>239.8</v>
      </c>
      <c r="K677" t="str">
        <f>PROPER('Original Data'!K677)</f>
        <v>Debit Card</v>
      </c>
      <c r="L677" t="s">
        <v>49</v>
      </c>
      <c r="M677" t="str" cm="1">
        <f t="array" ref="M677">_xlfn.IFS(OR('Original Data'!M677=0,'Original Data'!M677="No",'Original Data'!M677=FALSE),"No",OR('Original Data'!M677=1,'Original Data'!M677="Yes",'Original Data'!M677=TRUE),"Yes")</f>
        <v>Yes</v>
      </c>
    </row>
    <row r="678" spans="1:13" x14ac:dyDescent="0.2">
      <c r="A678">
        <v>677</v>
      </c>
      <c r="B678" t="s">
        <v>78</v>
      </c>
      <c r="C678" s="5">
        <v>45598</v>
      </c>
      <c r="D678" t="s">
        <v>79</v>
      </c>
      <c r="E678" t="s">
        <v>48</v>
      </c>
      <c r="F678" t="s">
        <v>21</v>
      </c>
      <c r="G678" t="s">
        <v>22</v>
      </c>
      <c r="H678">
        <v>1</v>
      </c>
      <c r="I678" s="7">
        <v>0</v>
      </c>
      <c r="J678">
        <v>39.950000000000003</v>
      </c>
      <c r="K678" t="str">
        <f>PROPER('Original Data'!K678)</f>
        <v>Cash</v>
      </c>
      <c r="L678" t="s">
        <v>45</v>
      </c>
      <c r="M678" t="str" cm="1">
        <f t="array" ref="M678">_xlfn.IFS(OR('Original Data'!M678=0,'Original Data'!M678="No",'Original Data'!M678=FALSE),"No",OR('Original Data'!M678=1,'Original Data'!M678="Yes",'Original Data'!M678=TRUE),"Yes")</f>
        <v>Yes</v>
      </c>
    </row>
    <row r="679" spans="1:13" x14ac:dyDescent="0.2">
      <c r="A679">
        <v>678</v>
      </c>
      <c r="B679" t="s">
        <v>74</v>
      </c>
      <c r="C679" s="5">
        <v>45641</v>
      </c>
      <c r="D679" t="str">
        <f>VLOOKUP(B679,'Original Data'!B:D,3,FALSE)</f>
        <v>Silk Scarf</v>
      </c>
      <c r="E679" t="str">
        <f>_xlfn.XLOOKUP('Cleaned Data'!B727,'Original Data'!B:B,'Original Data'!E:E)</f>
        <v>Old Navy</v>
      </c>
      <c r="F679" t="s">
        <v>44</v>
      </c>
      <c r="H679">
        <v>4</v>
      </c>
      <c r="I679" s="7">
        <v>0</v>
      </c>
      <c r="J679">
        <v>179.8</v>
      </c>
      <c r="K679" t="str">
        <f>PROPER('Original Data'!K679)</f>
        <v>Debit Card</v>
      </c>
      <c r="L679" t="s">
        <v>30</v>
      </c>
      <c r="M679" t="s">
        <v>92</v>
      </c>
    </row>
    <row r="680" spans="1:13" x14ac:dyDescent="0.2">
      <c r="A680">
        <v>679</v>
      </c>
      <c r="B680" t="s">
        <v>83</v>
      </c>
      <c r="C680" s="5">
        <v>45169</v>
      </c>
      <c r="D680" t="str">
        <f>VLOOKUP(B680,'Original Data'!B:D,3,FALSE)</f>
        <v>Graphic Hoodie</v>
      </c>
      <c r="E680" t="str">
        <f>_xlfn.XLOOKUP('Cleaned Data'!B917,'Original Data'!B:B,'Original Data'!E:E)</f>
        <v>NULL</v>
      </c>
      <c r="F680" t="s">
        <v>16</v>
      </c>
      <c r="G680" t="s">
        <v>17</v>
      </c>
      <c r="H680">
        <v>4</v>
      </c>
      <c r="I680" s="7">
        <v>0.15</v>
      </c>
      <c r="J680">
        <v>169.83</v>
      </c>
      <c r="K680" t="str">
        <f>PROPER('Original Data'!K680)</f>
        <v>Apple Pay</v>
      </c>
      <c r="L680" t="s">
        <v>63</v>
      </c>
      <c r="M680" t="s">
        <v>92</v>
      </c>
    </row>
    <row r="681" spans="1:13" x14ac:dyDescent="0.2">
      <c r="A681">
        <v>680</v>
      </c>
      <c r="B681" t="s">
        <v>24</v>
      </c>
      <c r="C681" s="5">
        <v>45037</v>
      </c>
      <c r="D681" t="s">
        <v>87</v>
      </c>
      <c r="E681" t="s">
        <v>39</v>
      </c>
      <c r="F681" t="s">
        <v>16</v>
      </c>
      <c r="G681" t="s">
        <v>17</v>
      </c>
      <c r="H681">
        <v>3</v>
      </c>
      <c r="I681" s="7">
        <v>0</v>
      </c>
      <c r="J681">
        <v>134.85</v>
      </c>
      <c r="K681" t="str">
        <f>PROPER('Original Data'!K681)</f>
        <v>Cash</v>
      </c>
      <c r="L681" t="s">
        <v>45</v>
      </c>
      <c r="M681" t="str" cm="1">
        <f t="array" ref="M681">_xlfn.IFS(OR('Original Data'!M681=0,'Original Data'!M681="No",'Original Data'!M681=FALSE),"No",OR('Original Data'!M681=1,'Original Data'!M681="Yes",'Original Data'!M681=TRUE),"Yes")</f>
        <v>Yes</v>
      </c>
    </row>
    <row r="682" spans="1:13" x14ac:dyDescent="0.2">
      <c r="A682">
        <v>681</v>
      </c>
      <c r="B682" t="s">
        <v>37</v>
      </c>
      <c r="C682" s="5">
        <v>45523</v>
      </c>
      <c r="D682" t="s">
        <v>38</v>
      </c>
      <c r="E682" t="s">
        <v>39</v>
      </c>
      <c r="F682" t="s">
        <v>34</v>
      </c>
      <c r="G682" t="s">
        <v>35</v>
      </c>
      <c r="H682">
        <v>2</v>
      </c>
      <c r="I682" s="7">
        <v>0.2</v>
      </c>
      <c r="J682">
        <v>103.92</v>
      </c>
      <c r="K682" t="str">
        <f>PROPER('Original Data'!K682)</f>
        <v>Credit Card</v>
      </c>
      <c r="L682" t="s">
        <v>63</v>
      </c>
      <c r="M682" t="str" cm="1">
        <f t="array" ref="M682">_xlfn.IFS(OR('Original Data'!M682=0,'Original Data'!M682="No",'Original Data'!M682=FALSE),"No",OR('Original Data'!M682=1,'Original Data'!M682="Yes",'Original Data'!M682=TRUE),"Yes")</f>
        <v>Yes</v>
      </c>
    </row>
    <row r="683" spans="1:13" x14ac:dyDescent="0.2">
      <c r="A683">
        <v>682</v>
      </c>
      <c r="B683" t="s">
        <v>88</v>
      </c>
      <c r="C683" s="5">
        <v>45511</v>
      </c>
      <c r="D683" t="s">
        <v>89</v>
      </c>
      <c r="E683" t="s">
        <v>33</v>
      </c>
      <c r="F683" t="s">
        <v>16</v>
      </c>
      <c r="G683" t="s">
        <v>17</v>
      </c>
      <c r="H683">
        <v>2</v>
      </c>
      <c r="I683" s="7">
        <v>0.25</v>
      </c>
      <c r="J683">
        <v>297</v>
      </c>
      <c r="K683" t="str">
        <f>PROPER('Original Data'!K683)</f>
        <v>Debit Card</v>
      </c>
      <c r="L683" t="s">
        <v>63</v>
      </c>
      <c r="M683" t="str" cm="1">
        <f t="array" ref="M683">_xlfn.IFS(OR('Original Data'!M683=0,'Original Data'!M683="No",'Original Data'!M683=FALSE),"No",OR('Original Data'!M683=1,'Original Data'!M683="Yes",'Original Data'!M683=TRUE),"Yes")</f>
        <v>No</v>
      </c>
    </row>
    <row r="684" spans="1:13" x14ac:dyDescent="0.2">
      <c r="A684">
        <v>683</v>
      </c>
      <c r="B684" t="s">
        <v>61</v>
      </c>
      <c r="C684" s="5">
        <v>45437</v>
      </c>
      <c r="D684" t="s">
        <v>62</v>
      </c>
      <c r="E684" t="s">
        <v>33</v>
      </c>
      <c r="F684" t="s">
        <v>16</v>
      </c>
      <c r="G684" t="s">
        <v>17</v>
      </c>
      <c r="H684">
        <v>5</v>
      </c>
      <c r="I684" s="7">
        <v>0.1</v>
      </c>
      <c r="J684">
        <v>157.46</v>
      </c>
      <c r="K684" t="str">
        <f>PROPER('Original Data'!K684)</f>
        <v>Credit Card</v>
      </c>
      <c r="L684" t="s">
        <v>55</v>
      </c>
      <c r="M684" t="str" cm="1">
        <f t="array" ref="M684">_xlfn.IFS(OR('Original Data'!M684=0,'Original Data'!M684="No",'Original Data'!M684=FALSE),"No",OR('Original Data'!M684=1,'Original Data'!M684="Yes",'Original Data'!M684=TRUE),"Yes")</f>
        <v>No</v>
      </c>
    </row>
    <row r="685" spans="1:13" x14ac:dyDescent="0.2">
      <c r="A685">
        <v>684</v>
      </c>
      <c r="B685" t="s">
        <v>50</v>
      </c>
      <c r="C685" s="5">
        <v>45560</v>
      </c>
      <c r="D685" t="s">
        <v>51</v>
      </c>
      <c r="E685" t="s">
        <v>15</v>
      </c>
      <c r="F685" t="s">
        <v>66</v>
      </c>
      <c r="G685" t="s">
        <v>67</v>
      </c>
      <c r="H685">
        <v>1</v>
      </c>
      <c r="I685" s="7">
        <v>0.05</v>
      </c>
      <c r="J685">
        <v>66.45</v>
      </c>
      <c r="K685" t="str">
        <f>PROPER('Original Data'!K685)</f>
        <v>Gift Card</v>
      </c>
      <c r="M685" t="str" cm="1">
        <f t="array" ref="M685">_xlfn.IFS(OR('Original Data'!M685=0,'Original Data'!M685="No",'Original Data'!M685=FALSE),"No",OR('Original Data'!M685=1,'Original Data'!M685="Yes",'Original Data'!M685=TRUE),"Yes")</f>
        <v>No</v>
      </c>
    </row>
    <row r="686" spans="1:13" x14ac:dyDescent="0.2">
      <c r="A686">
        <v>685</v>
      </c>
      <c r="B686" t="s">
        <v>88</v>
      </c>
      <c r="C686" s="5">
        <v>45264</v>
      </c>
      <c r="D686" t="s">
        <v>89</v>
      </c>
      <c r="E686" t="s">
        <v>33</v>
      </c>
      <c r="F686" t="s">
        <v>34</v>
      </c>
      <c r="G686" t="s">
        <v>35</v>
      </c>
      <c r="H686">
        <v>1</v>
      </c>
      <c r="I686" s="7">
        <v>0</v>
      </c>
      <c r="J686">
        <v>198</v>
      </c>
      <c r="K686" t="s">
        <v>90</v>
      </c>
      <c r="L686" t="s">
        <v>63</v>
      </c>
      <c r="M686" t="str" cm="1">
        <f t="array" ref="M686">_xlfn.IFS(OR('Original Data'!M686=0,'Original Data'!M686="No",'Original Data'!M686=FALSE),"No",OR('Original Data'!M686=1,'Original Data'!M686="Yes",'Original Data'!M686=TRUE),"Yes")</f>
        <v>No</v>
      </c>
    </row>
    <row r="687" spans="1:13" x14ac:dyDescent="0.2">
      <c r="A687">
        <v>686</v>
      </c>
      <c r="B687" t="s">
        <v>68</v>
      </c>
      <c r="C687" s="5">
        <v>45417</v>
      </c>
      <c r="D687" t="s">
        <v>69</v>
      </c>
      <c r="E687" t="s">
        <v>33</v>
      </c>
      <c r="F687" t="s">
        <v>26</v>
      </c>
      <c r="G687" t="s">
        <v>22</v>
      </c>
      <c r="H687">
        <v>1</v>
      </c>
      <c r="J687">
        <v>119</v>
      </c>
      <c r="K687" t="s">
        <v>90</v>
      </c>
      <c r="L687" t="s">
        <v>55</v>
      </c>
      <c r="M687" t="str" cm="1">
        <f t="array" ref="M687">_xlfn.IFS(OR('Original Data'!M687=0,'Original Data'!M687="No",'Original Data'!M687=FALSE),"No",OR('Original Data'!M687=1,'Original Data'!M687="Yes",'Original Data'!M687=TRUE),"Yes")</f>
        <v>No</v>
      </c>
    </row>
    <row r="688" spans="1:13" x14ac:dyDescent="0.2">
      <c r="A688">
        <v>687</v>
      </c>
      <c r="B688" t="s">
        <v>13</v>
      </c>
      <c r="C688" s="5">
        <v>45549</v>
      </c>
      <c r="D688" t="s">
        <v>14</v>
      </c>
      <c r="E688" t="s">
        <v>15</v>
      </c>
      <c r="F688" t="s">
        <v>34</v>
      </c>
      <c r="G688" t="s">
        <v>35</v>
      </c>
      <c r="H688">
        <v>1</v>
      </c>
      <c r="I688" s="7">
        <v>0</v>
      </c>
      <c r="J688">
        <v>19.989999999999998</v>
      </c>
      <c r="K688" t="s">
        <v>90</v>
      </c>
      <c r="L688" t="s">
        <v>63</v>
      </c>
      <c r="M688" t="str" cm="1">
        <f t="array" ref="M688">_xlfn.IFS(OR('Original Data'!M688=0,'Original Data'!M688="No",'Original Data'!M688=FALSE),"No",OR('Original Data'!M688=1,'Original Data'!M688="Yes",'Original Data'!M688=TRUE),"Yes")</f>
        <v>No</v>
      </c>
    </row>
    <row r="689" spans="1:13" x14ac:dyDescent="0.2">
      <c r="A689">
        <v>688</v>
      </c>
      <c r="B689" t="s">
        <v>46</v>
      </c>
      <c r="C689" s="5">
        <v>45278</v>
      </c>
      <c r="D689" t="s">
        <v>47</v>
      </c>
      <c r="E689" t="s">
        <v>48</v>
      </c>
      <c r="F689" t="s">
        <v>44</v>
      </c>
      <c r="H689">
        <v>5</v>
      </c>
      <c r="I689" s="7">
        <v>0</v>
      </c>
      <c r="J689">
        <v>249.75</v>
      </c>
      <c r="K689" t="str">
        <f>PROPER('Original Data'!K689)</f>
        <v>Debit Card</v>
      </c>
      <c r="L689" t="s">
        <v>49</v>
      </c>
      <c r="M689" t="str" cm="1">
        <f t="array" ref="M689">_xlfn.IFS(OR('Original Data'!M689=0,'Original Data'!M689="No",'Original Data'!M689=FALSE),"No",OR('Original Data'!M689=1,'Original Data'!M689="Yes",'Original Data'!M689=TRUE),"Yes")</f>
        <v>No</v>
      </c>
    </row>
    <row r="690" spans="1:13" x14ac:dyDescent="0.2">
      <c r="A690">
        <v>689</v>
      </c>
      <c r="B690" t="s">
        <v>19</v>
      </c>
      <c r="C690" s="5">
        <v>45376</v>
      </c>
      <c r="D690" t="s">
        <v>20</v>
      </c>
      <c r="E690" t="s">
        <v>15</v>
      </c>
      <c r="F690" t="s">
        <v>26</v>
      </c>
      <c r="G690" t="s">
        <v>22</v>
      </c>
      <c r="H690">
        <v>1</v>
      </c>
      <c r="I690" s="7">
        <v>0</v>
      </c>
      <c r="J690">
        <v>89.95</v>
      </c>
      <c r="K690" t="str">
        <f>PROPER('Original Data'!K690)</f>
        <v>Debit Card</v>
      </c>
      <c r="L690" t="s">
        <v>23</v>
      </c>
      <c r="M690" t="str" cm="1">
        <f t="array" ref="M690">_xlfn.IFS(OR('Original Data'!M690=0,'Original Data'!M690="No",'Original Data'!M690=FALSE),"No",OR('Original Data'!M690=1,'Original Data'!M690="Yes",'Original Data'!M690=TRUE),"Yes")</f>
        <v>Yes</v>
      </c>
    </row>
    <row r="691" spans="1:13" x14ac:dyDescent="0.2">
      <c r="A691">
        <v>690</v>
      </c>
      <c r="B691" t="s">
        <v>42</v>
      </c>
      <c r="C691" s="5">
        <v>45292</v>
      </c>
      <c r="D691" t="s">
        <v>91</v>
      </c>
      <c r="E691" t="s">
        <v>15</v>
      </c>
      <c r="F691" t="s">
        <v>16</v>
      </c>
      <c r="G691" t="s">
        <v>17</v>
      </c>
      <c r="H691">
        <v>3</v>
      </c>
      <c r="I691" s="7">
        <v>0.05</v>
      </c>
      <c r="J691">
        <v>367.65</v>
      </c>
      <c r="K691" t="str">
        <f>PROPER('Original Data'!K691)</f>
        <v>Apple Pay</v>
      </c>
      <c r="L691" t="s">
        <v>41</v>
      </c>
      <c r="M691" t="str" cm="1">
        <f t="array" ref="M691">_xlfn.IFS(OR('Original Data'!M691=0,'Original Data'!M691="No",'Original Data'!M691=FALSE),"No",OR('Original Data'!M691=1,'Original Data'!M691="Yes",'Original Data'!M691=TRUE),"Yes")</f>
        <v>Yes</v>
      </c>
    </row>
    <row r="692" spans="1:13" x14ac:dyDescent="0.2">
      <c r="A692">
        <v>691</v>
      </c>
      <c r="B692" t="s">
        <v>58</v>
      </c>
      <c r="C692" s="5">
        <v>45007</v>
      </c>
      <c r="D692" t="s">
        <v>59</v>
      </c>
      <c r="E692" t="s">
        <v>15</v>
      </c>
      <c r="F692" t="s">
        <v>16</v>
      </c>
      <c r="G692" t="s">
        <v>17</v>
      </c>
      <c r="H692">
        <v>3</v>
      </c>
      <c r="I692" s="7">
        <v>0.2</v>
      </c>
      <c r="J692">
        <v>143.88</v>
      </c>
      <c r="K692" t="str">
        <f>PROPER('Original Data'!K692)</f>
        <v>Cash</v>
      </c>
      <c r="L692" t="s">
        <v>41</v>
      </c>
      <c r="M692" t="str" cm="1">
        <f t="array" ref="M692">_xlfn.IFS(OR('Original Data'!M692=0,'Original Data'!M692="No",'Original Data'!M692=FALSE),"No",OR('Original Data'!M692=1,'Original Data'!M692="Yes",'Original Data'!M692=TRUE),"Yes")</f>
        <v>Yes</v>
      </c>
    </row>
    <row r="693" spans="1:13" x14ac:dyDescent="0.2">
      <c r="A693">
        <v>692</v>
      </c>
      <c r="B693" t="s">
        <v>19</v>
      </c>
      <c r="C693" s="5">
        <v>45437</v>
      </c>
      <c r="D693" t="s">
        <v>20</v>
      </c>
      <c r="E693" t="s">
        <v>15</v>
      </c>
      <c r="F693" t="s">
        <v>26</v>
      </c>
      <c r="G693" t="s">
        <v>22</v>
      </c>
      <c r="H693">
        <v>4</v>
      </c>
      <c r="I693" s="7">
        <v>0.25</v>
      </c>
      <c r="J693">
        <v>269.85000000000002</v>
      </c>
      <c r="K693" t="str">
        <f>PROPER('Original Data'!K693)</f>
        <v>Credit Card</v>
      </c>
      <c r="L693" t="s">
        <v>55</v>
      </c>
      <c r="M693" t="str" cm="1">
        <f t="array" ref="M693">_xlfn.IFS(OR('Original Data'!M693=0,'Original Data'!M693="No",'Original Data'!M693=FALSE),"No",OR('Original Data'!M693=1,'Original Data'!M693="Yes",'Original Data'!M693=TRUE),"Yes")</f>
        <v>Yes</v>
      </c>
    </row>
    <row r="694" spans="1:13" x14ac:dyDescent="0.2">
      <c r="A694">
        <v>693</v>
      </c>
      <c r="B694" t="s">
        <v>58</v>
      </c>
      <c r="C694" s="5">
        <v>45602</v>
      </c>
      <c r="D694" t="s">
        <v>59</v>
      </c>
      <c r="E694" t="s">
        <v>15</v>
      </c>
      <c r="F694" t="s">
        <v>44</v>
      </c>
      <c r="H694">
        <v>2</v>
      </c>
      <c r="I694" s="7">
        <v>0.05</v>
      </c>
      <c r="J694">
        <v>113.9</v>
      </c>
      <c r="K694" t="str">
        <f>PROPER('Original Data'!K694)</f>
        <v>Debit Card</v>
      </c>
      <c r="L694" t="s">
        <v>28</v>
      </c>
      <c r="M694" t="str" cm="1">
        <f t="array" ref="M694">_xlfn.IFS(OR('Original Data'!M694=0,'Original Data'!M694="No",'Original Data'!M694=FALSE),"No",OR('Original Data'!M694=1,'Original Data'!M694="Yes",'Original Data'!M694=TRUE),"Yes")</f>
        <v>Yes</v>
      </c>
    </row>
    <row r="695" spans="1:13" x14ac:dyDescent="0.2">
      <c r="A695">
        <v>694</v>
      </c>
      <c r="B695" t="s">
        <v>81</v>
      </c>
      <c r="C695" s="5">
        <v>45563</v>
      </c>
      <c r="D695" t="s">
        <v>82</v>
      </c>
      <c r="E695" t="s">
        <v>15</v>
      </c>
      <c r="F695" t="s">
        <v>53</v>
      </c>
      <c r="G695" t="s">
        <v>54</v>
      </c>
      <c r="H695">
        <v>2</v>
      </c>
      <c r="I695" s="7">
        <v>0</v>
      </c>
      <c r="J695">
        <v>159.9</v>
      </c>
      <c r="K695" t="str">
        <f>PROPER('Original Data'!K695)</f>
        <v>Apple Pay</v>
      </c>
      <c r="L695" t="s">
        <v>49</v>
      </c>
      <c r="M695" t="str" cm="1">
        <f t="array" ref="M695">_xlfn.IFS(OR('Original Data'!M695=0,'Original Data'!M695="No",'Original Data'!M695=FALSE),"No",OR('Original Data'!M695=1,'Original Data'!M695="Yes",'Original Data'!M695=TRUE),"Yes")</f>
        <v>Yes</v>
      </c>
    </row>
    <row r="696" spans="1:13" x14ac:dyDescent="0.2">
      <c r="A696">
        <v>695</v>
      </c>
      <c r="B696" t="s">
        <v>56</v>
      </c>
      <c r="C696" s="5">
        <v>45317</v>
      </c>
      <c r="D696" t="s">
        <v>57</v>
      </c>
      <c r="E696" t="s">
        <v>48</v>
      </c>
      <c r="F696" t="s">
        <v>53</v>
      </c>
      <c r="G696" t="s">
        <v>54</v>
      </c>
      <c r="H696">
        <v>4</v>
      </c>
      <c r="I696" s="7">
        <v>0</v>
      </c>
      <c r="J696">
        <v>340</v>
      </c>
      <c r="K696" t="str">
        <f>PROPER('Original Data'!K696)</f>
        <v>Debit Card</v>
      </c>
      <c r="L696" t="s">
        <v>30</v>
      </c>
      <c r="M696" t="str" cm="1">
        <f t="array" ref="M696">_xlfn.IFS(OR('Original Data'!M696=0,'Original Data'!M696="No",'Original Data'!M696=FALSE),"No",OR('Original Data'!M696=1,'Original Data'!M696="Yes",'Original Data'!M696=TRUE),"Yes")</f>
        <v>Yes</v>
      </c>
    </row>
    <row r="697" spans="1:13" x14ac:dyDescent="0.2">
      <c r="A697">
        <v>696</v>
      </c>
      <c r="B697" t="s">
        <v>58</v>
      </c>
      <c r="C697" s="5">
        <v>45602</v>
      </c>
      <c r="D697" t="s">
        <v>59</v>
      </c>
      <c r="E697" t="s">
        <v>15</v>
      </c>
      <c r="F697" t="s">
        <v>21</v>
      </c>
      <c r="G697" t="s">
        <v>22</v>
      </c>
      <c r="H697">
        <v>5</v>
      </c>
      <c r="I697" s="7">
        <v>0.1</v>
      </c>
      <c r="J697">
        <v>269.77999999999997</v>
      </c>
      <c r="K697" t="str">
        <f>PROPER('Original Data'!K697)</f>
        <v>Cash</v>
      </c>
      <c r="L697" t="s">
        <v>49</v>
      </c>
      <c r="M697" t="str" cm="1">
        <f t="array" ref="M697">_xlfn.IFS(OR('Original Data'!M697=0,'Original Data'!M697="No",'Original Data'!M697=FALSE),"No",OR('Original Data'!M697=1,'Original Data'!M697="Yes",'Original Data'!M697=TRUE),"Yes")</f>
        <v>Yes</v>
      </c>
    </row>
    <row r="698" spans="1:13" x14ac:dyDescent="0.2">
      <c r="A698">
        <v>697</v>
      </c>
      <c r="B698" t="s">
        <v>13</v>
      </c>
      <c r="C698" s="5">
        <v>45294</v>
      </c>
      <c r="D698" t="s">
        <v>14</v>
      </c>
      <c r="E698" t="s">
        <v>15</v>
      </c>
      <c r="F698" t="s">
        <v>44</v>
      </c>
      <c r="H698">
        <v>4</v>
      </c>
      <c r="I698" s="7">
        <v>0</v>
      </c>
      <c r="J698">
        <v>79.959999999999994</v>
      </c>
      <c r="K698" t="str">
        <f>PROPER('Original Data'!K698)</f>
        <v>Credit Card</v>
      </c>
      <c r="L698" t="s">
        <v>41</v>
      </c>
      <c r="M698" t="str" cm="1">
        <f t="array" ref="M698">_xlfn.IFS(OR('Original Data'!M698=0,'Original Data'!M698="No",'Original Data'!M698=FALSE),"No",OR('Original Data'!M698=1,'Original Data'!M698="Yes",'Original Data'!M698=TRUE),"Yes")</f>
        <v>No</v>
      </c>
    </row>
    <row r="699" spans="1:13" x14ac:dyDescent="0.2">
      <c r="A699">
        <v>698</v>
      </c>
      <c r="B699" t="s">
        <v>31</v>
      </c>
      <c r="C699" s="5">
        <v>45057</v>
      </c>
      <c r="D699" t="s">
        <v>32</v>
      </c>
      <c r="E699" t="s">
        <v>33</v>
      </c>
      <c r="F699" t="s">
        <v>44</v>
      </c>
      <c r="H699">
        <v>3</v>
      </c>
      <c r="I699" s="7">
        <v>0.1</v>
      </c>
      <c r="J699">
        <v>215.87</v>
      </c>
      <c r="K699" t="str">
        <f>PROPER('Original Data'!K699)</f>
        <v>Gift Card</v>
      </c>
      <c r="M699" t="str" cm="1">
        <f t="array" ref="M699">_xlfn.IFS(OR('Original Data'!M699=0,'Original Data'!M699="No",'Original Data'!M699=FALSE),"No",OR('Original Data'!M699=1,'Original Data'!M699="Yes",'Original Data'!M699=TRUE),"Yes")</f>
        <v>No</v>
      </c>
    </row>
    <row r="700" spans="1:13" x14ac:dyDescent="0.2">
      <c r="A700">
        <v>699</v>
      </c>
      <c r="B700" t="s">
        <v>81</v>
      </c>
      <c r="C700" s="5">
        <v>45192</v>
      </c>
      <c r="D700" t="s">
        <v>82</v>
      </c>
      <c r="E700" t="s">
        <v>15</v>
      </c>
      <c r="G700" t="s">
        <v>25</v>
      </c>
      <c r="H700">
        <v>3</v>
      </c>
      <c r="I700" s="7">
        <v>0</v>
      </c>
      <c r="J700">
        <v>239.85</v>
      </c>
      <c r="K700" t="str">
        <f>PROPER('Original Data'!K700)</f>
        <v>Credit Card</v>
      </c>
      <c r="L700" t="s">
        <v>63</v>
      </c>
      <c r="M700" t="str" cm="1">
        <f t="array" ref="M700">_xlfn.IFS(OR('Original Data'!M700=0,'Original Data'!M700="No",'Original Data'!M700=FALSE),"No",OR('Original Data'!M700=1,'Original Data'!M700="Yes",'Original Data'!M700=TRUE),"Yes")</f>
        <v>Yes</v>
      </c>
    </row>
    <row r="701" spans="1:13" x14ac:dyDescent="0.2">
      <c r="A701">
        <v>700</v>
      </c>
      <c r="B701" t="s">
        <v>78</v>
      </c>
      <c r="C701" s="5">
        <v>45511</v>
      </c>
      <c r="D701" t="str">
        <f>VLOOKUP(B701,'Original Data'!B:D,3,FALSE)</f>
        <v>Cargo Shorts</v>
      </c>
      <c r="E701" t="str">
        <f>_xlfn.XLOOKUP('Cleaned Data'!B977,'Original Data'!B:B,'Original Data'!E:E)</f>
        <v>Intermix</v>
      </c>
      <c r="F701" t="s">
        <v>16</v>
      </c>
      <c r="G701" t="s">
        <v>17</v>
      </c>
      <c r="H701">
        <v>1</v>
      </c>
      <c r="I701" s="7">
        <v>0.05</v>
      </c>
      <c r="J701">
        <v>37.950000000000003</v>
      </c>
      <c r="K701" t="str">
        <f>PROPER('Original Data'!K701)</f>
        <v>Cash</v>
      </c>
      <c r="L701" t="s">
        <v>63</v>
      </c>
      <c r="M701" t="s">
        <v>92</v>
      </c>
    </row>
    <row r="702" spans="1:13" x14ac:dyDescent="0.2">
      <c r="A702">
        <v>701</v>
      </c>
      <c r="B702" t="s">
        <v>68</v>
      </c>
      <c r="C702" s="5">
        <v>45304</v>
      </c>
      <c r="D702" t="s">
        <v>69</v>
      </c>
      <c r="E702" t="s">
        <v>33</v>
      </c>
      <c r="F702" t="s">
        <v>21</v>
      </c>
      <c r="G702" t="s">
        <v>22</v>
      </c>
      <c r="H702">
        <v>4</v>
      </c>
      <c r="I702" s="7">
        <v>0.1</v>
      </c>
      <c r="J702">
        <v>428.4</v>
      </c>
      <c r="K702" t="str">
        <f>PROPER('Original Data'!K702)</f>
        <v>Debit Card</v>
      </c>
      <c r="L702" t="s">
        <v>23</v>
      </c>
      <c r="M702" t="str" cm="1">
        <f t="array" ref="M702">_xlfn.IFS(OR('Original Data'!M702=0,'Original Data'!M702="No",'Original Data'!M702=FALSE),"No",OR('Original Data'!M702=1,'Original Data'!M702="Yes",'Original Data'!M702=TRUE),"Yes")</f>
        <v>No</v>
      </c>
    </row>
    <row r="703" spans="1:13" x14ac:dyDescent="0.2">
      <c r="A703">
        <v>702</v>
      </c>
      <c r="B703" t="s">
        <v>37</v>
      </c>
      <c r="C703" s="5">
        <v>45591</v>
      </c>
      <c r="D703" t="s">
        <v>38</v>
      </c>
      <c r="E703" t="s">
        <v>39</v>
      </c>
      <c r="F703" t="s">
        <v>40</v>
      </c>
      <c r="G703" t="s">
        <v>17</v>
      </c>
      <c r="H703">
        <v>4</v>
      </c>
      <c r="I703" s="7">
        <v>0</v>
      </c>
      <c r="J703">
        <v>259.8</v>
      </c>
      <c r="K703" t="str">
        <f>PROPER('Original Data'!K703)</f>
        <v>Gift Card</v>
      </c>
      <c r="L703" t="s">
        <v>45</v>
      </c>
      <c r="M703" t="str" cm="1">
        <f t="array" ref="M703">_xlfn.IFS(OR('Original Data'!M703=0,'Original Data'!M703="No",'Original Data'!M703=FALSE),"No",OR('Original Data'!M703=1,'Original Data'!M703="Yes",'Original Data'!M703=TRUE),"Yes")</f>
        <v>Yes</v>
      </c>
    </row>
    <row r="704" spans="1:13" x14ac:dyDescent="0.2">
      <c r="A704">
        <v>703</v>
      </c>
      <c r="B704" t="s">
        <v>78</v>
      </c>
      <c r="C704" s="5">
        <v>45202</v>
      </c>
      <c r="D704" t="s">
        <v>79</v>
      </c>
      <c r="E704" t="s">
        <v>48</v>
      </c>
      <c r="F704" t="s">
        <v>16</v>
      </c>
      <c r="G704" t="s">
        <v>17</v>
      </c>
      <c r="H704">
        <v>1</v>
      </c>
      <c r="I704" s="7">
        <v>0.25</v>
      </c>
      <c r="J704">
        <v>29.96</v>
      </c>
      <c r="K704" t="str">
        <f>PROPER('Original Data'!K704)</f>
        <v>Cash</v>
      </c>
      <c r="L704" t="s">
        <v>41</v>
      </c>
      <c r="M704" t="str" cm="1">
        <f t="array" ref="M704">_xlfn.IFS(OR('Original Data'!M704=0,'Original Data'!M704="No",'Original Data'!M704=FALSE),"No",OR('Original Data'!M704=1,'Original Data'!M704="Yes",'Original Data'!M704=TRUE),"Yes")</f>
        <v>Yes</v>
      </c>
    </row>
    <row r="705" spans="1:13" x14ac:dyDescent="0.2">
      <c r="A705">
        <v>704</v>
      </c>
      <c r="B705" t="s">
        <v>19</v>
      </c>
      <c r="C705" s="5">
        <v>45287</v>
      </c>
      <c r="D705" t="s">
        <v>20</v>
      </c>
      <c r="E705" t="s">
        <v>15</v>
      </c>
      <c r="F705" t="s">
        <v>16</v>
      </c>
      <c r="G705" t="s">
        <v>17</v>
      </c>
      <c r="H705">
        <v>4</v>
      </c>
      <c r="I705" s="7">
        <v>0.2</v>
      </c>
      <c r="J705">
        <v>287.83999999999997</v>
      </c>
      <c r="K705" t="str">
        <f>PROPER('Original Data'!K705)</f>
        <v>Credit Card</v>
      </c>
      <c r="L705" t="s">
        <v>49</v>
      </c>
      <c r="M705" t="str" cm="1">
        <f t="array" ref="M705">_xlfn.IFS(OR('Original Data'!M705=0,'Original Data'!M705="No",'Original Data'!M705=FALSE),"No",OR('Original Data'!M705=1,'Original Data'!M705="Yes",'Original Data'!M705=TRUE),"Yes")</f>
        <v>Yes</v>
      </c>
    </row>
    <row r="706" spans="1:13" x14ac:dyDescent="0.2">
      <c r="A706">
        <v>705</v>
      </c>
      <c r="B706" t="s">
        <v>56</v>
      </c>
      <c r="C706" s="5">
        <v>45193</v>
      </c>
      <c r="D706" t="s">
        <v>57</v>
      </c>
      <c r="E706" t="s">
        <v>48</v>
      </c>
      <c r="F706" t="s">
        <v>66</v>
      </c>
      <c r="G706" t="s">
        <v>67</v>
      </c>
      <c r="H706">
        <v>2</v>
      </c>
      <c r="I706" s="7">
        <v>0.2</v>
      </c>
      <c r="J706">
        <v>136</v>
      </c>
      <c r="K706" t="s">
        <v>90</v>
      </c>
      <c r="L706" t="s">
        <v>45</v>
      </c>
      <c r="M706" t="str" cm="1">
        <f t="array" ref="M706">_xlfn.IFS(OR('Original Data'!M706=0,'Original Data'!M706="No",'Original Data'!M706=FALSE),"No",OR('Original Data'!M706=1,'Original Data'!M706="Yes",'Original Data'!M706=TRUE),"Yes")</f>
        <v>Yes</v>
      </c>
    </row>
    <row r="707" spans="1:13" x14ac:dyDescent="0.2">
      <c r="A707">
        <v>706</v>
      </c>
      <c r="B707" t="s">
        <v>31</v>
      </c>
      <c r="C707" s="5">
        <v>45355</v>
      </c>
      <c r="D707" t="s">
        <v>32</v>
      </c>
      <c r="E707" t="s">
        <v>33</v>
      </c>
      <c r="F707" t="s">
        <v>34</v>
      </c>
      <c r="G707" t="s">
        <v>35</v>
      </c>
      <c r="H707">
        <v>4</v>
      </c>
      <c r="I707" s="7">
        <v>0</v>
      </c>
      <c r="J707">
        <v>319.8</v>
      </c>
      <c r="K707" t="str">
        <f>PROPER('Original Data'!K707)</f>
        <v>Credit Card</v>
      </c>
      <c r="M707" t="str" cm="1">
        <f t="array" ref="M707">_xlfn.IFS(OR('Original Data'!M707=0,'Original Data'!M707="No",'Original Data'!M707=FALSE),"No",OR('Original Data'!M707=1,'Original Data'!M707="Yes",'Original Data'!M707=TRUE),"Yes")</f>
        <v>No</v>
      </c>
    </row>
    <row r="708" spans="1:13" x14ac:dyDescent="0.2">
      <c r="A708">
        <v>707</v>
      </c>
      <c r="B708" t="s">
        <v>61</v>
      </c>
      <c r="C708" s="5">
        <v>45057</v>
      </c>
      <c r="D708" t="s">
        <v>62</v>
      </c>
      <c r="E708" t="s">
        <v>33</v>
      </c>
      <c r="F708" t="s">
        <v>16</v>
      </c>
      <c r="G708" t="s">
        <v>17</v>
      </c>
      <c r="H708">
        <v>5</v>
      </c>
      <c r="I708" s="7">
        <v>0.2</v>
      </c>
      <c r="J708">
        <v>139.96</v>
      </c>
      <c r="K708" t="str">
        <f>PROPER('Original Data'!K708)</f>
        <v>Cash</v>
      </c>
      <c r="L708" t="s">
        <v>28</v>
      </c>
      <c r="M708" t="str" cm="1">
        <f t="array" ref="M708">_xlfn.IFS(OR('Original Data'!M708=0,'Original Data'!M708="No",'Original Data'!M708=FALSE),"No",OR('Original Data'!M708=1,'Original Data'!M708="Yes",'Original Data'!M708=TRUE),"Yes")</f>
        <v>No</v>
      </c>
    </row>
    <row r="709" spans="1:13" x14ac:dyDescent="0.2">
      <c r="A709">
        <v>708</v>
      </c>
      <c r="B709" t="s">
        <v>42</v>
      </c>
      <c r="C709" s="5">
        <v>45387</v>
      </c>
      <c r="D709" t="s">
        <v>91</v>
      </c>
      <c r="E709" t="s">
        <v>15</v>
      </c>
      <c r="F709" t="s">
        <v>26</v>
      </c>
      <c r="G709" t="s">
        <v>22</v>
      </c>
      <c r="H709">
        <v>3</v>
      </c>
      <c r="I709" s="7">
        <v>0.25</v>
      </c>
      <c r="J709">
        <v>290.25</v>
      </c>
      <c r="K709" t="str">
        <f>PROPER('Original Data'!K709)</f>
        <v>Apple Pay</v>
      </c>
      <c r="L709" t="s">
        <v>28</v>
      </c>
      <c r="M709" t="str" cm="1">
        <f t="array" ref="M709">_xlfn.IFS(OR('Original Data'!M709=0,'Original Data'!M709="No",'Original Data'!M709=FALSE),"No",OR('Original Data'!M709=1,'Original Data'!M709="Yes",'Original Data'!M709=TRUE),"Yes")</f>
        <v>Yes</v>
      </c>
    </row>
    <row r="710" spans="1:13" x14ac:dyDescent="0.2">
      <c r="A710">
        <v>709</v>
      </c>
      <c r="B710" t="s">
        <v>61</v>
      </c>
      <c r="C710" s="5">
        <v>45255</v>
      </c>
      <c r="D710" t="s">
        <v>62</v>
      </c>
      <c r="E710" t="s">
        <v>33</v>
      </c>
      <c r="F710" t="s">
        <v>16</v>
      </c>
      <c r="G710" t="s">
        <v>17</v>
      </c>
      <c r="H710">
        <v>1</v>
      </c>
      <c r="I710" s="7">
        <v>0.15</v>
      </c>
      <c r="J710">
        <v>29.74</v>
      </c>
      <c r="K710" t="str">
        <f>PROPER('Original Data'!K710)</f>
        <v>Gift Card</v>
      </c>
      <c r="M710" t="str" cm="1">
        <f t="array" ref="M710">_xlfn.IFS(OR('Original Data'!M710=0,'Original Data'!M710="No",'Original Data'!M710=FALSE),"No",OR('Original Data'!M710=1,'Original Data'!M710="Yes",'Original Data'!M710=TRUE),"Yes")</f>
        <v>No</v>
      </c>
    </row>
    <row r="711" spans="1:13" x14ac:dyDescent="0.2">
      <c r="A711">
        <v>710</v>
      </c>
      <c r="B711" t="s">
        <v>50</v>
      </c>
      <c r="C711" s="5">
        <v>45073</v>
      </c>
      <c r="D711" t="s">
        <v>51</v>
      </c>
      <c r="E711" t="s">
        <v>15</v>
      </c>
      <c r="F711" t="s">
        <v>21</v>
      </c>
      <c r="G711" t="s">
        <v>22</v>
      </c>
      <c r="H711">
        <v>3</v>
      </c>
      <c r="I711" s="7">
        <v>0.2</v>
      </c>
      <c r="J711">
        <v>167.88</v>
      </c>
      <c r="K711" t="str">
        <f>PROPER('Original Data'!K711)</f>
        <v>Debit Card</v>
      </c>
      <c r="L711" t="s">
        <v>49</v>
      </c>
      <c r="M711" t="str" cm="1">
        <f t="array" ref="M711">_xlfn.IFS(OR('Original Data'!M711=0,'Original Data'!M711="No",'Original Data'!M711=FALSE),"No",OR('Original Data'!M711=1,'Original Data'!M711="Yes",'Original Data'!M711=TRUE),"Yes")</f>
        <v>No</v>
      </c>
    </row>
    <row r="712" spans="1:13" x14ac:dyDescent="0.2">
      <c r="A712">
        <v>711</v>
      </c>
      <c r="B712" t="s">
        <v>31</v>
      </c>
      <c r="C712" s="5">
        <v>45376</v>
      </c>
      <c r="D712" t="s">
        <v>32</v>
      </c>
      <c r="E712" t="s">
        <v>33</v>
      </c>
      <c r="F712" t="s">
        <v>53</v>
      </c>
      <c r="G712" t="s">
        <v>54</v>
      </c>
      <c r="H712">
        <v>1</v>
      </c>
      <c r="I712" s="7">
        <v>0.1</v>
      </c>
      <c r="J712">
        <v>71.959999999999994</v>
      </c>
      <c r="K712" t="str">
        <f>PROPER('Original Data'!K712)</f>
        <v>Gift Card</v>
      </c>
      <c r="L712" t="s">
        <v>30</v>
      </c>
      <c r="M712" t="str" cm="1">
        <f t="array" ref="M712">_xlfn.IFS(OR('Original Data'!M712=0,'Original Data'!M712="No",'Original Data'!M712=FALSE),"No",OR('Original Data'!M712=1,'Original Data'!M712="Yes",'Original Data'!M712=TRUE),"Yes")</f>
        <v>No</v>
      </c>
    </row>
    <row r="713" spans="1:13" x14ac:dyDescent="0.2">
      <c r="A713">
        <v>712</v>
      </c>
      <c r="B713" t="s">
        <v>56</v>
      </c>
      <c r="C713" s="5">
        <v>44967</v>
      </c>
      <c r="D713" t="s">
        <v>57</v>
      </c>
      <c r="E713" t="s">
        <v>48</v>
      </c>
      <c r="F713" t="s">
        <v>34</v>
      </c>
      <c r="G713" t="s">
        <v>35</v>
      </c>
      <c r="H713">
        <v>5</v>
      </c>
      <c r="I713" s="7">
        <v>0</v>
      </c>
      <c r="J713">
        <v>425</v>
      </c>
      <c r="K713" t="s">
        <v>90</v>
      </c>
      <c r="L713" t="s">
        <v>23</v>
      </c>
      <c r="M713" t="str" cm="1">
        <f t="array" ref="M713">_xlfn.IFS(OR('Original Data'!M713=0,'Original Data'!M713="No",'Original Data'!M713=FALSE),"No",OR('Original Data'!M713=1,'Original Data'!M713="Yes",'Original Data'!M713=TRUE),"Yes")</f>
        <v>Yes</v>
      </c>
    </row>
    <row r="714" spans="1:13" x14ac:dyDescent="0.2">
      <c r="A714">
        <v>713</v>
      </c>
      <c r="B714" t="s">
        <v>78</v>
      </c>
      <c r="C714" s="5">
        <v>45650</v>
      </c>
      <c r="D714" t="s">
        <v>79</v>
      </c>
      <c r="E714" t="s">
        <v>48</v>
      </c>
      <c r="F714" t="s">
        <v>44</v>
      </c>
      <c r="H714">
        <v>2</v>
      </c>
      <c r="I714" s="7">
        <v>0.25</v>
      </c>
      <c r="J714">
        <v>59.92</v>
      </c>
      <c r="K714" t="str">
        <f>PROPER('Original Data'!K714)</f>
        <v>Credit Card</v>
      </c>
      <c r="L714" t="s">
        <v>30</v>
      </c>
      <c r="M714" t="str" cm="1">
        <f t="array" ref="M714">_xlfn.IFS(OR('Original Data'!M714=0,'Original Data'!M714="No",'Original Data'!M714=FALSE),"No",OR('Original Data'!M714=1,'Original Data'!M714="Yes",'Original Data'!M714=TRUE),"Yes")</f>
        <v>Yes</v>
      </c>
    </row>
    <row r="715" spans="1:13" x14ac:dyDescent="0.2">
      <c r="A715">
        <v>714</v>
      </c>
      <c r="B715" t="s">
        <v>19</v>
      </c>
      <c r="C715" s="5">
        <v>45270</v>
      </c>
      <c r="D715" t="s">
        <v>20</v>
      </c>
      <c r="E715" t="s">
        <v>15</v>
      </c>
      <c r="F715" t="s">
        <v>16</v>
      </c>
      <c r="G715" t="s">
        <v>17</v>
      </c>
      <c r="H715">
        <v>1</v>
      </c>
      <c r="I715" s="7">
        <v>0.15</v>
      </c>
      <c r="J715">
        <v>76.459999999999994</v>
      </c>
      <c r="K715" t="s">
        <v>90</v>
      </c>
      <c r="M715" t="str" cm="1">
        <f t="array" ref="M715">_xlfn.IFS(OR('Original Data'!M715=0,'Original Data'!M715="No",'Original Data'!M715=FALSE),"No",OR('Original Data'!M715=1,'Original Data'!M715="Yes",'Original Data'!M715=TRUE),"Yes")</f>
        <v>Yes</v>
      </c>
    </row>
    <row r="716" spans="1:13" x14ac:dyDescent="0.2">
      <c r="A716">
        <v>715</v>
      </c>
      <c r="B716" t="s">
        <v>37</v>
      </c>
      <c r="C716" s="5">
        <v>45067</v>
      </c>
      <c r="D716" t="s">
        <v>38</v>
      </c>
      <c r="E716" t="s">
        <v>39</v>
      </c>
      <c r="F716" t="s">
        <v>40</v>
      </c>
      <c r="G716" t="s">
        <v>17</v>
      </c>
      <c r="H716">
        <v>5</v>
      </c>
      <c r="I716" s="7">
        <v>0</v>
      </c>
      <c r="J716">
        <v>324.75</v>
      </c>
      <c r="K716" t="str">
        <f>PROPER('Original Data'!K716)</f>
        <v>Debit Card</v>
      </c>
      <c r="L716" t="s">
        <v>23</v>
      </c>
      <c r="M716" t="str" cm="1">
        <f t="array" ref="M716">_xlfn.IFS(OR('Original Data'!M716=0,'Original Data'!M716="No",'Original Data'!M716=FALSE),"No",OR('Original Data'!M716=1,'Original Data'!M716="Yes",'Original Data'!M716=TRUE),"Yes")</f>
        <v>Yes</v>
      </c>
    </row>
    <row r="717" spans="1:13" x14ac:dyDescent="0.2">
      <c r="A717">
        <v>716</v>
      </c>
      <c r="B717" t="s">
        <v>42</v>
      </c>
      <c r="C717" s="5">
        <v>44995</v>
      </c>
      <c r="D717" t="s">
        <v>91</v>
      </c>
      <c r="E717" t="s">
        <v>15</v>
      </c>
      <c r="F717" t="s">
        <v>34</v>
      </c>
      <c r="G717" t="s">
        <v>35</v>
      </c>
      <c r="H717">
        <v>5</v>
      </c>
      <c r="I717" s="7">
        <v>0.05</v>
      </c>
      <c r="J717">
        <v>612.75</v>
      </c>
      <c r="K717" t="str">
        <f>PROPER('Original Data'!K717)</f>
        <v>Gift Card</v>
      </c>
      <c r="L717" t="s">
        <v>23</v>
      </c>
      <c r="M717" t="str" cm="1">
        <f t="array" ref="M717">_xlfn.IFS(OR('Original Data'!M717=0,'Original Data'!M717="No",'Original Data'!M717=FALSE),"No",OR('Original Data'!M717=1,'Original Data'!M717="Yes",'Original Data'!M717=TRUE),"Yes")</f>
        <v>Yes</v>
      </c>
    </row>
    <row r="718" spans="1:13" x14ac:dyDescent="0.2">
      <c r="A718">
        <v>717</v>
      </c>
      <c r="B718" t="s">
        <v>78</v>
      </c>
      <c r="C718" s="5">
        <v>45611</v>
      </c>
      <c r="D718" t="s">
        <v>79</v>
      </c>
      <c r="E718" t="s">
        <v>48</v>
      </c>
      <c r="F718" t="s">
        <v>44</v>
      </c>
      <c r="H718">
        <v>2</v>
      </c>
      <c r="I718" s="7">
        <v>0.1</v>
      </c>
      <c r="J718">
        <v>71.91</v>
      </c>
      <c r="K718" t="str">
        <f>PROPER('Original Data'!K718)</f>
        <v>Cash</v>
      </c>
      <c r="L718" t="s">
        <v>63</v>
      </c>
      <c r="M718" t="str" cm="1">
        <f t="array" ref="M718">_xlfn.IFS(OR('Original Data'!M718=0,'Original Data'!M718="No",'Original Data'!M718=FALSE),"No",OR('Original Data'!M718=1,'Original Data'!M718="Yes",'Original Data'!M718=TRUE),"Yes")</f>
        <v>Yes</v>
      </c>
    </row>
    <row r="719" spans="1:13" x14ac:dyDescent="0.2">
      <c r="A719">
        <v>718</v>
      </c>
      <c r="B719" t="s">
        <v>85</v>
      </c>
      <c r="C719" s="5">
        <v>45362</v>
      </c>
      <c r="D719" t="s">
        <v>86</v>
      </c>
      <c r="E719" t="s">
        <v>76</v>
      </c>
      <c r="F719" t="s">
        <v>53</v>
      </c>
      <c r="G719" t="s">
        <v>54</v>
      </c>
      <c r="H719">
        <v>4</v>
      </c>
      <c r="I719" s="7">
        <v>0.15</v>
      </c>
      <c r="J719">
        <v>305.83</v>
      </c>
      <c r="K719" t="str">
        <f>PROPER('Original Data'!K719)</f>
        <v>Apple Pay</v>
      </c>
      <c r="L719" t="s">
        <v>63</v>
      </c>
      <c r="M719" t="str" cm="1">
        <f t="array" ref="M719">_xlfn.IFS(OR('Original Data'!M719=0,'Original Data'!M719="No",'Original Data'!M719=FALSE),"No",OR('Original Data'!M719=1,'Original Data'!M719="Yes",'Original Data'!M719=TRUE),"Yes")</f>
        <v>Yes</v>
      </c>
    </row>
    <row r="720" spans="1:13" x14ac:dyDescent="0.2">
      <c r="A720">
        <v>719</v>
      </c>
      <c r="B720" t="s">
        <v>71</v>
      </c>
      <c r="C720" s="5">
        <v>45201</v>
      </c>
      <c r="D720" t="s">
        <v>72</v>
      </c>
      <c r="E720" t="s">
        <v>33</v>
      </c>
      <c r="F720" t="s">
        <v>44</v>
      </c>
      <c r="H720">
        <v>4</v>
      </c>
      <c r="I720" s="7">
        <v>0.05</v>
      </c>
      <c r="J720">
        <v>227.81</v>
      </c>
      <c r="K720" t="str">
        <f>PROPER('Original Data'!K720)</f>
        <v>Cash</v>
      </c>
      <c r="L720" t="s">
        <v>23</v>
      </c>
      <c r="M720" t="str" cm="1">
        <f t="array" ref="M720">_xlfn.IFS(OR('Original Data'!M720=0,'Original Data'!M720="No",'Original Data'!M720=FALSE),"No",OR('Original Data'!M720=1,'Original Data'!M720="Yes",'Original Data'!M720=TRUE),"Yes")</f>
        <v>Yes</v>
      </c>
    </row>
    <row r="721" spans="1:13" x14ac:dyDescent="0.2">
      <c r="A721">
        <v>720</v>
      </c>
      <c r="B721" t="s">
        <v>74</v>
      </c>
      <c r="C721" s="5">
        <v>45151</v>
      </c>
      <c r="D721" t="s">
        <v>75</v>
      </c>
      <c r="E721" t="s">
        <v>76</v>
      </c>
      <c r="F721" t="s">
        <v>21</v>
      </c>
      <c r="G721" t="s">
        <v>22</v>
      </c>
      <c r="H721">
        <v>3</v>
      </c>
      <c r="I721" s="7">
        <v>0</v>
      </c>
      <c r="J721">
        <v>134.85</v>
      </c>
      <c r="K721" t="str">
        <f>PROPER('Original Data'!K721)</f>
        <v>Gift Card</v>
      </c>
      <c r="L721" t="s">
        <v>30</v>
      </c>
      <c r="M721" t="str" cm="1">
        <f t="array" ref="M721">_xlfn.IFS(OR('Original Data'!M721=0,'Original Data'!M721="No",'Original Data'!M721=FALSE),"No",OR('Original Data'!M721=1,'Original Data'!M721="Yes",'Original Data'!M721=TRUE),"Yes")</f>
        <v>No</v>
      </c>
    </row>
    <row r="722" spans="1:13" x14ac:dyDescent="0.2">
      <c r="A722">
        <v>721</v>
      </c>
      <c r="B722" t="s">
        <v>71</v>
      </c>
      <c r="C722" s="5">
        <v>45479</v>
      </c>
      <c r="D722" t="s">
        <v>72</v>
      </c>
      <c r="E722" t="s">
        <v>33</v>
      </c>
      <c r="F722" t="s">
        <v>16</v>
      </c>
      <c r="G722" t="s">
        <v>17</v>
      </c>
      <c r="H722">
        <v>5</v>
      </c>
      <c r="I722" s="7">
        <v>0.15</v>
      </c>
      <c r="J722">
        <v>254.79</v>
      </c>
      <c r="K722" t="s">
        <v>90</v>
      </c>
      <c r="L722" t="s">
        <v>45</v>
      </c>
      <c r="M722" t="str" cm="1">
        <f t="array" ref="M722">_xlfn.IFS(OR('Original Data'!M722=0,'Original Data'!M722="No",'Original Data'!M722=FALSE),"No",OR('Original Data'!M722=1,'Original Data'!M722="Yes",'Original Data'!M722=TRUE),"Yes")</f>
        <v>Yes</v>
      </c>
    </row>
    <row r="723" spans="1:13" x14ac:dyDescent="0.2">
      <c r="A723">
        <v>722</v>
      </c>
      <c r="B723" t="s">
        <v>58</v>
      </c>
      <c r="C723" s="5">
        <v>45130</v>
      </c>
      <c r="D723" t="s">
        <v>59</v>
      </c>
      <c r="E723" t="s">
        <v>15</v>
      </c>
      <c r="F723" t="s">
        <v>16</v>
      </c>
      <c r="G723" t="s">
        <v>17</v>
      </c>
      <c r="H723">
        <v>5</v>
      </c>
      <c r="I723" s="7">
        <v>0.05</v>
      </c>
      <c r="J723">
        <v>284.76</v>
      </c>
      <c r="K723" t="s">
        <v>90</v>
      </c>
      <c r="L723" t="s">
        <v>49</v>
      </c>
      <c r="M723" t="str" cm="1">
        <f t="array" ref="M723">_xlfn.IFS(OR('Original Data'!M723=0,'Original Data'!M723="No",'Original Data'!M723=FALSE),"No",OR('Original Data'!M723=1,'Original Data'!M723="Yes",'Original Data'!M723=TRUE),"Yes")</f>
        <v>Yes</v>
      </c>
    </row>
    <row r="724" spans="1:13" x14ac:dyDescent="0.2">
      <c r="A724">
        <v>723</v>
      </c>
      <c r="B724" t="s">
        <v>13</v>
      </c>
      <c r="C724" s="5">
        <v>45334</v>
      </c>
      <c r="D724" t="s">
        <v>14</v>
      </c>
      <c r="E724" t="s">
        <v>15</v>
      </c>
      <c r="G724" t="s">
        <v>25</v>
      </c>
      <c r="H724">
        <v>1</v>
      </c>
      <c r="I724" s="7">
        <v>0</v>
      </c>
      <c r="J724">
        <v>19.989999999999998</v>
      </c>
      <c r="K724" t="s">
        <v>90</v>
      </c>
      <c r="L724" t="s">
        <v>55</v>
      </c>
      <c r="M724" t="s">
        <v>92</v>
      </c>
    </row>
    <row r="725" spans="1:13" x14ac:dyDescent="0.2">
      <c r="A725">
        <v>724</v>
      </c>
      <c r="B725" t="s">
        <v>74</v>
      </c>
      <c r="C725" s="5">
        <v>45002</v>
      </c>
      <c r="D725" t="s">
        <v>75</v>
      </c>
      <c r="E725" t="s">
        <v>76</v>
      </c>
      <c r="F725" t="s">
        <v>21</v>
      </c>
      <c r="G725" t="s">
        <v>22</v>
      </c>
      <c r="H725">
        <v>2</v>
      </c>
      <c r="J725">
        <v>89.9</v>
      </c>
      <c r="K725" t="str">
        <f>PROPER('Original Data'!K725)</f>
        <v>Credit Card</v>
      </c>
      <c r="L725" t="s">
        <v>55</v>
      </c>
      <c r="M725" t="str" cm="1">
        <f t="array" ref="M725">_xlfn.IFS(OR('Original Data'!M725=0,'Original Data'!M725="No",'Original Data'!M725=FALSE),"No",OR('Original Data'!M725=1,'Original Data'!M725="Yes",'Original Data'!M725=TRUE),"Yes")</f>
        <v>No</v>
      </c>
    </row>
    <row r="726" spans="1:13" x14ac:dyDescent="0.2">
      <c r="A726">
        <v>725</v>
      </c>
      <c r="B726" t="s">
        <v>88</v>
      </c>
      <c r="C726" s="5">
        <v>45396</v>
      </c>
      <c r="D726" t="s">
        <v>89</v>
      </c>
      <c r="E726" t="s">
        <v>33</v>
      </c>
      <c r="F726" t="s">
        <v>53</v>
      </c>
      <c r="G726" t="s">
        <v>54</v>
      </c>
      <c r="H726">
        <v>4</v>
      </c>
      <c r="I726" s="7">
        <v>0</v>
      </c>
      <c r="J726">
        <v>792</v>
      </c>
      <c r="K726" t="str">
        <f>PROPER('Original Data'!K726)</f>
        <v>Cash</v>
      </c>
      <c r="L726" t="s">
        <v>30</v>
      </c>
      <c r="M726" t="str" cm="1">
        <f t="array" ref="M726">_xlfn.IFS(OR('Original Data'!M726=0,'Original Data'!M726="No",'Original Data'!M726=FALSE),"No",OR('Original Data'!M726=1,'Original Data'!M726="Yes",'Original Data'!M726=TRUE),"Yes")</f>
        <v>No</v>
      </c>
    </row>
    <row r="727" spans="1:13" x14ac:dyDescent="0.2">
      <c r="A727">
        <v>726</v>
      </c>
      <c r="B727" t="s">
        <v>56</v>
      </c>
      <c r="C727" s="5">
        <v>45435</v>
      </c>
      <c r="D727" t="s">
        <v>57</v>
      </c>
      <c r="E727" t="s">
        <v>48</v>
      </c>
      <c r="F727" t="s">
        <v>53</v>
      </c>
      <c r="G727" t="s">
        <v>54</v>
      </c>
      <c r="H727">
        <v>5</v>
      </c>
      <c r="I727" s="7">
        <v>0.05</v>
      </c>
      <c r="J727">
        <v>403.75</v>
      </c>
      <c r="K727" t="str">
        <f>PROPER('Original Data'!K727)</f>
        <v>Credit Card</v>
      </c>
      <c r="L727" t="s">
        <v>28</v>
      </c>
      <c r="M727" t="str" cm="1">
        <f t="array" ref="M727">_xlfn.IFS(OR('Original Data'!M727=0,'Original Data'!M727="No",'Original Data'!M727=FALSE),"No",OR('Original Data'!M727=1,'Original Data'!M727="Yes",'Original Data'!M727=TRUE),"Yes")</f>
        <v>Yes</v>
      </c>
    </row>
    <row r="728" spans="1:13" x14ac:dyDescent="0.2">
      <c r="A728">
        <v>727</v>
      </c>
      <c r="B728" t="s">
        <v>83</v>
      </c>
      <c r="C728" s="5">
        <v>45074</v>
      </c>
      <c r="D728" t="s">
        <v>84</v>
      </c>
      <c r="E728" t="s">
        <v>48</v>
      </c>
      <c r="F728" t="s">
        <v>40</v>
      </c>
      <c r="G728" t="s">
        <v>17</v>
      </c>
      <c r="H728">
        <v>5</v>
      </c>
      <c r="I728" s="7">
        <v>0</v>
      </c>
      <c r="J728">
        <v>249.75</v>
      </c>
      <c r="K728" t="str">
        <f>PROPER('Original Data'!K728)</f>
        <v>Cash</v>
      </c>
      <c r="L728" t="s">
        <v>30</v>
      </c>
      <c r="M728" t="str" cm="1">
        <f t="array" ref="M728">_xlfn.IFS(OR('Original Data'!M728=0,'Original Data'!M728="No",'Original Data'!M728=FALSE),"No",OR('Original Data'!M728=1,'Original Data'!M728="Yes",'Original Data'!M728=TRUE),"Yes")</f>
        <v>No</v>
      </c>
    </row>
    <row r="729" spans="1:13" x14ac:dyDescent="0.2">
      <c r="A729">
        <v>728</v>
      </c>
      <c r="B729" t="s">
        <v>78</v>
      </c>
      <c r="C729" s="5">
        <v>45185</v>
      </c>
      <c r="D729" t="s">
        <v>79</v>
      </c>
      <c r="E729" t="s">
        <v>48</v>
      </c>
      <c r="F729" t="s">
        <v>44</v>
      </c>
      <c r="H729">
        <v>5</v>
      </c>
      <c r="I729" s="7">
        <v>0.05</v>
      </c>
      <c r="J729">
        <v>189.76</v>
      </c>
      <c r="K729" t="str">
        <f>PROPER('Original Data'!K729)</f>
        <v>Gift Card</v>
      </c>
      <c r="M729" t="str" cm="1">
        <f t="array" ref="M729">_xlfn.IFS(OR('Original Data'!M729=0,'Original Data'!M729="No",'Original Data'!M729=FALSE),"No",OR('Original Data'!M729=1,'Original Data'!M729="Yes",'Original Data'!M729=TRUE),"Yes")</f>
        <v>Yes</v>
      </c>
    </row>
    <row r="730" spans="1:13" x14ac:dyDescent="0.2">
      <c r="A730">
        <v>729</v>
      </c>
      <c r="B730" t="s">
        <v>56</v>
      </c>
      <c r="C730" s="5">
        <v>45399</v>
      </c>
      <c r="D730" t="s">
        <v>57</v>
      </c>
      <c r="E730" t="s">
        <v>48</v>
      </c>
      <c r="F730" t="s">
        <v>44</v>
      </c>
      <c r="H730">
        <v>4</v>
      </c>
      <c r="I730" s="7">
        <v>0.15</v>
      </c>
      <c r="J730">
        <v>289</v>
      </c>
      <c r="K730" t="str">
        <f>PROPER('Original Data'!K730)</f>
        <v>Cash</v>
      </c>
      <c r="L730" t="s">
        <v>63</v>
      </c>
      <c r="M730" t="str" cm="1">
        <f t="array" ref="M730">_xlfn.IFS(OR('Original Data'!M730=0,'Original Data'!M730="No",'Original Data'!M730=FALSE),"No",OR('Original Data'!M730=1,'Original Data'!M730="Yes",'Original Data'!M730=TRUE),"Yes")</f>
        <v>Yes</v>
      </c>
    </row>
    <row r="731" spans="1:13" x14ac:dyDescent="0.2">
      <c r="A731">
        <v>730</v>
      </c>
      <c r="B731" t="s">
        <v>31</v>
      </c>
      <c r="C731" s="5">
        <v>45375</v>
      </c>
      <c r="D731" t="s">
        <v>32</v>
      </c>
      <c r="E731" t="s">
        <v>33</v>
      </c>
      <c r="G731" t="s">
        <v>25</v>
      </c>
      <c r="H731">
        <v>5</v>
      </c>
      <c r="I731" s="7">
        <v>0</v>
      </c>
      <c r="J731">
        <v>399.75</v>
      </c>
      <c r="K731" t="str">
        <f>PROPER('Original Data'!K731)</f>
        <v>Debit Card</v>
      </c>
      <c r="L731" t="s">
        <v>45</v>
      </c>
      <c r="M731" t="str" cm="1">
        <f t="array" ref="M731">_xlfn.IFS(OR('Original Data'!M731=0,'Original Data'!M731="No",'Original Data'!M731=FALSE),"No",OR('Original Data'!M731=1,'Original Data'!M731="Yes",'Original Data'!M731=TRUE),"Yes")</f>
        <v>No</v>
      </c>
    </row>
    <row r="732" spans="1:13" x14ac:dyDescent="0.2">
      <c r="A732">
        <v>731</v>
      </c>
      <c r="B732" t="s">
        <v>46</v>
      </c>
      <c r="C732" s="5">
        <v>45257</v>
      </c>
      <c r="D732" t="s">
        <v>47</v>
      </c>
      <c r="E732" t="s">
        <v>48</v>
      </c>
      <c r="F732" t="s">
        <v>53</v>
      </c>
      <c r="G732" t="s">
        <v>54</v>
      </c>
      <c r="H732">
        <v>4</v>
      </c>
      <c r="I732" s="7">
        <v>0.1</v>
      </c>
      <c r="J732">
        <v>179.82</v>
      </c>
      <c r="K732" t="s">
        <v>90</v>
      </c>
      <c r="L732" t="s">
        <v>30</v>
      </c>
      <c r="M732" t="str" cm="1">
        <f t="array" ref="M732">_xlfn.IFS(OR('Original Data'!M732=0,'Original Data'!M732="No",'Original Data'!M732=FALSE),"No",OR('Original Data'!M732=1,'Original Data'!M732="Yes",'Original Data'!M732=TRUE),"Yes")</f>
        <v>No</v>
      </c>
    </row>
    <row r="733" spans="1:13" x14ac:dyDescent="0.2">
      <c r="A733">
        <v>732</v>
      </c>
      <c r="B733" t="s">
        <v>83</v>
      </c>
      <c r="C733" s="5">
        <v>45065</v>
      </c>
      <c r="D733" t="str">
        <f>VLOOKUP(B733,'Original Data'!B:D,3,FALSE)</f>
        <v>Graphic Hoodie</v>
      </c>
      <c r="E733" t="str">
        <f>_xlfn.XLOOKUP('Cleaned Data'!B919,'Original Data'!B:B,'Original Data'!E:E)</f>
        <v>Banana Republic</v>
      </c>
      <c r="F733" t="s">
        <v>53</v>
      </c>
      <c r="G733" t="s">
        <v>54</v>
      </c>
      <c r="H733">
        <v>4</v>
      </c>
      <c r="I733" s="7">
        <v>0.05</v>
      </c>
      <c r="J733">
        <v>189.81</v>
      </c>
      <c r="K733" t="str">
        <f>PROPER('Original Data'!K733)</f>
        <v>Apple Pay</v>
      </c>
      <c r="L733" t="s">
        <v>49</v>
      </c>
      <c r="M733" t="s">
        <v>92</v>
      </c>
    </row>
    <row r="734" spans="1:13" x14ac:dyDescent="0.2">
      <c r="A734">
        <v>733</v>
      </c>
      <c r="B734" t="s">
        <v>37</v>
      </c>
      <c r="C734" s="5">
        <v>44989</v>
      </c>
      <c r="D734" t="s">
        <v>38</v>
      </c>
      <c r="E734" t="s">
        <v>39</v>
      </c>
      <c r="F734" t="s">
        <v>34</v>
      </c>
      <c r="G734" t="s">
        <v>35</v>
      </c>
      <c r="H734">
        <v>1</v>
      </c>
      <c r="I734" s="7">
        <v>0.25</v>
      </c>
      <c r="J734">
        <v>48.71</v>
      </c>
      <c r="K734" t="str">
        <f>PROPER('Original Data'!K734)</f>
        <v>Credit Card</v>
      </c>
      <c r="L734" t="s">
        <v>49</v>
      </c>
      <c r="M734" t="str" cm="1">
        <f t="array" ref="M734">_xlfn.IFS(OR('Original Data'!M734=0,'Original Data'!M734="No",'Original Data'!M734=FALSE),"No",OR('Original Data'!M734=1,'Original Data'!M734="Yes",'Original Data'!M734=TRUE),"Yes")</f>
        <v>Yes</v>
      </c>
    </row>
    <row r="735" spans="1:13" x14ac:dyDescent="0.2">
      <c r="A735">
        <v>734</v>
      </c>
      <c r="B735" t="s">
        <v>81</v>
      </c>
      <c r="C735" s="5">
        <v>45501</v>
      </c>
      <c r="D735" t="s">
        <v>82</v>
      </c>
      <c r="E735" t="s">
        <v>15</v>
      </c>
      <c r="F735" t="s">
        <v>21</v>
      </c>
      <c r="G735" t="s">
        <v>22</v>
      </c>
      <c r="H735">
        <v>3</v>
      </c>
      <c r="I735" s="7">
        <v>0.15</v>
      </c>
      <c r="J735">
        <v>203.87</v>
      </c>
      <c r="K735" t="str">
        <f>PROPER('Original Data'!K735)</f>
        <v>Cash</v>
      </c>
      <c r="L735" t="s">
        <v>28</v>
      </c>
      <c r="M735" t="str" cm="1">
        <f t="array" ref="M735">_xlfn.IFS(OR('Original Data'!M735=0,'Original Data'!M735="No",'Original Data'!M735=FALSE),"No",OR('Original Data'!M735=1,'Original Data'!M735="Yes",'Original Data'!M735=TRUE),"Yes")</f>
        <v>Yes</v>
      </c>
    </row>
    <row r="736" spans="1:13" x14ac:dyDescent="0.2">
      <c r="A736">
        <v>735</v>
      </c>
      <c r="B736" t="s">
        <v>88</v>
      </c>
      <c r="C736" s="5">
        <v>45099</v>
      </c>
      <c r="D736" t="s">
        <v>89</v>
      </c>
      <c r="E736" t="s">
        <v>33</v>
      </c>
      <c r="F736" t="s">
        <v>21</v>
      </c>
      <c r="G736" t="s">
        <v>22</v>
      </c>
      <c r="H736">
        <v>5</v>
      </c>
      <c r="I736" s="7">
        <v>0.1</v>
      </c>
      <c r="J736">
        <v>891</v>
      </c>
      <c r="K736" t="str">
        <f>PROPER('Original Data'!K736)</f>
        <v>Debit Card</v>
      </c>
      <c r="L736" t="s">
        <v>41</v>
      </c>
      <c r="M736" t="str" cm="1">
        <f t="array" ref="M736">_xlfn.IFS(OR('Original Data'!M736=0,'Original Data'!M736="No",'Original Data'!M736=FALSE),"No",OR('Original Data'!M736=1,'Original Data'!M736="Yes",'Original Data'!M736=TRUE),"Yes")</f>
        <v>No</v>
      </c>
    </row>
    <row r="737" spans="1:13" x14ac:dyDescent="0.2">
      <c r="A737">
        <v>736</v>
      </c>
      <c r="B737" t="s">
        <v>61</v>
      </c>
      <c r="C737" s="5">
        <v>45410</v>
      </c>
      <c r="D737" t="s">
        <v>62</v>
      </c>
      <c r="E737" t="s">
        <v>33</v>
      </c>
      <c r="F737" t="s">
        <v>26</v>
      </c>
      <c r="G737" t="s">
        <v>22</v>
      </c>
      <c r="H737">
        <v>5</v>
      </c>
      <c r="I737" s="7">
        <v>0.25</v>
      </c>
      <c r="J737">
        <v>131.21</v>
      </c>
      <c r="K737" t="str">
        <f>PROPER('Original Data'!K737)</f>
        <v>Apple Pay</v>
      </c>
      <c r="L737" t="s">
        <v>28</v>
      </c>
      <c r="M737" t="str" cm="1">
        <f t="array" ref="M737">_xlfn.IFS(OR('Original Data'!M737=0,'Original Data'!M737="No",'Original Data'!M737=FALSE),"No",OR('Original Data'!M737=1,'Original Data'!M737="Yes",'Original Data'!M737=TRUE),"Yes")</f>
        <v>No</v>
      </c>
    </row>
    <row r="738" spans="1:13" x14ac:dyDescent="0.2">
      <c r="A738">
        <v>737</v>
      </c>
      <c r="B738" t="s">
        <v>78</v>
      </c>
      <c r="C738" s="5">
        <v>45211</v>
      </c>
      <c r="D738" t="s">
        <v>79</v>
      </c>
      <c r="E738" t="s">
        <v>48</v>
      </c>
      <c r="F738" t="s">
        <v>40</v>
      </c>
      <c r="G738" t="s">
        <v>17</v>
      </c>
      <c r="H738">
        <v>1</v>
      </c>
      <c r="I738" s="7">
        <v>0.05</v>
      </c>
      <c r="J738">
        <v>37.950000000000003</v>
      </c>
      <c r="K738" t="str">
        <f>PROPER('Original Data'!K738)</f>
        <v>Apple Pay</v>
      </c>
      <c r="L738" t="s">
        <v>45</v>
      </c>
      <c r="M738" t="str" cm="1">
        <f t="array" ref="M738">_xlfn.IFS(OR('Original Data'!M738=0,'Original Data'!M738="No",'Original Data'!M738=FALSE),"No",OR('Original Data'!M738=1,'Original Data'!M738="Yes",'Original Data'!M738=TRUE),"Yes")</f>
        <v>Yes</v>
      </c>
    </row>
    <row r="739" spans="1:13" x14ac:dyDescent="0.2">
      <c r="A739">
        <v>738</v>
      </c>
      <c r="B739" t="s">
        <v>13</v>
      </c>
      <c r="C739" s="5">
        <v>45361</v>
      </c>
      <c r="D739" t="s">
        <v>14</v>
      </c>
      <c r="E739" t="s">
        <v>15</v>
      </c>
      <c r="F739" t="s">
        <v>66</v>
      </c>
      <c r="G739" t="s">
        <v>67</v>
      </c>
      <c r="H739">
        <v>3</v>
      </c>
      <c r="I739" s="7">
        <v>0.25</v>
      </c>
      <c r="J739">
        <v>44.98</v>
      </c>
      <c r="K739" t="str">
        <f>PROPER('Original Data'!K739)</f>
        <v>Apple Pay</v>
      </c>
      <c r="L739" t="s">
        <v>49</v>
      </c>
      <c r="M739" t="str" cm="1">
        <f t="array" ref="M739">_xlfn.IFS(OR('Original Data'!M739=0,'Original Data'!M739="No",'Original Data'!M739=FALSE),"No",OR('Original Data'!M739=1,'Original Data'!M739="Yes",'Original Data'!M739=TRUE),"Yes")</f>
        <v>No</v>
      </c>
    </row>
    <row r="740" spans="1:13" x14ac:dyDescent="0.2">
      <c r="A740">
        <v>739</v>
      </c>
      <c r="B740" t="s">
        <v>78</v>
      </c>
      <c r="C740" s="5">
        <v>45023</v>
      </c>
      <c r="D740" t="s">
        <v>79</v>
      </c>
      <c r="E740" t="s">
        <v>48</v>
      </c>
      <c r="F740" t="s">
        <v>40</v>
      </c>
      <c r="G740" t="s">
        <v>17</v>
      </c>
      <c r="H740">
        <v>2</v>
      </c>
      <c r="I740" s="7">
        <v>0</v>
      </c>
      <c r="J740">
        <v>79.900000000000006</v>
      </c>
      <c r="K740" t="str">
        <f>PROPER('Original Data'!K740)</f>
        <v>Cash</v>
      </c>
      <c r="L740" t="s">
        <v>30</v>
      </c>
      <c r="M740" t="str" cm="1">
        <f t="array" ref="M740">_xlfn.IFS(OR('Original Data'!M740=0,'Original Data'!M740="No",'Original Data'!M740=FALSE),"No",OR('Original Data'!M740=1,'Original Data'!M740="Yes",'Original Data'!M740=TRUE),"Yes")</f>
        <v>Yes</v>
      </c>
    </row>
    <row r="741" spans="1:13" x14ac:dyDescent="0.2">
      <c r="A741">
        <v>740</v>
      </c>
      <c r="B741" t="s">
        <v>64</v>
      </c>
      <c r="C741" s="5">
        <v>45574</v>
      </c>
      <c r="D741" t="str">
        <f>VLOOKUP(B741,'Original Data'!B:D,3,FALSE)</f>
        <v>Wool Sweater</v>
      </c>
      <c r="E741" t="str">
        <f>_xlfn.XLOOKUP('Cleaned Data'!B502,'Original Data'!B:B,'Original Data'!E:E)</f>
        <v>Intermix</v>
      </c>
      <c r="F741" t="s">
        <v>53</v>
      </c>
      <c r="G741" t="s">
        <v>54</v>
      </c>
      <c r="H741">
        <v>1</v>
      </c>
      <c r="I741" s="7">
        <v>0</v>
      </c>
      <c r="J741">
        <v>74.95</v>
      </c>
      <c r="K741" t="s">
        <v>90</v>
      </c>
      <c r="M741" t="s">
        <v>92</v>
      </c>
    </row>
    <row r="742" spans="1:13" x14ac:dyDescent="0.2">
      <c r="A742">
        <v>741</v>
      </c>
      <c r="B742" t="s">
        <v>31</v>
      </c>
      <c r="C742" s="5">
        <v>44984</v>
      </c>
      <c r="D742" t="s">
        <v>32</v>
      </c>
      <c r="E742" t="s">
        <v>33</v>
      </c>
      <c r="F742" t="s">
        <v>66</v>
      </c>
      <c r="G742" t="s">
        <v>67</v>
      </c>
      <c r="H742">
        <v>2</v>
      </c>
      <c r="I742" s="7">
        <v>0</v>
      </c>
      <c r="J742">
        <v>159.9</v>
      </c>
      <c r="K742" t="str">
        <f>PROPER('Original Data'!K742)</f>
        <v>Credit Card</v>
      </c>
      <c r="L742" t="s">
        <v>28</v>
      </c>
      <c r="M742" t="str" cm="1">
        <f t="array" ref="M742">_xlfn.IFS(OR('Original Data'!M742=0,'Original Data'!M742="No",'Original Data'!M742=FALSE),"No",OR('Original Data'!M742=1,'Original Data'!M742="Yes",'Original Data'!M742=TRUE),"Yes")</f>
        <v>No</v>
      </c>
    </row>
    <row r="743" spans="1:13" x14ac:dyDescent="0.2">
      <c r="A743">
        <v>742</v>
      </c>
      <c r="B743" t="s">
        <v>88</v>
      </c>
      <c r="C743" s="5">
        <v>44941</v>
      </c>
      <c r="D743" t="s">
        <v>89</v>
      </c>
      <c r="E743" t="s">
        <v>33</v>
      </c>
      <c r="F743" t="s">
        <v>26</v>
      </c>
      <c r="G743" t="s">
        <v>22</v>
      </c>
      <c r="H743">
        <v>3</v>
      </c>
      <c r="I743" s="7">
        <v>0</v>
      </c>
      <c r="J743">
        <v>594</v>
      </c>
      <c r="K743" t="s">
        <v>90</v>
      </c>
      <c r="L743" t="s">
        <v>49</v>
      </c>
      <c r="M743" t="str" cm="1">
        <f t="array" ref="M743">_xlfn.IFS(OR('Original Data'!M743=0,'Original Data'!M743="No",'Original Data'!M743=FALSE),"No",OR('Original Data'!M743=1,'Original Data'!M743="Yes",'Original Data'!M743=TRUE),"Yes")</f>
        <v>No</v>
      </c>
    </row>
    <row r="744" spans="1:13" x14ac:dyDescent="0.2">
      <c r="A744">
        <v>743</v>
      </c>
      <c r="B744" t="s">
        <v>58</v>
      </c>
      <c r="C744" s="5">
        <v>45577</v>
      </c>
      <c r="D744" t="s">
        <v>59</v>
      </c>
      <c r="E744" t="s">
        <v>15</v>
      </c>
      <c r="F744" t="s">
        <v>44</v>
      </c>
      <c r="H744">
        <v>3</v>
      </c>
      <c r="I744" s="7">
        <v>0.05</v>
      </c>
      <c r="J744">
        <v>170.86</v>
      </c>
      <c r="K744" t="str">
        <f>PROPER('Original Data'!K744)</f>
        <v>Debit Card</v>
      </c>
      <c r="L744" t="s">
        <v>28</v>
      </c>
      <c r="M744" t="str" cm="1">
        <f t="array" ref="M744">_xlfn.IFS(OR('Original Data'!M744=0,'Original Data'!M744="No",'Original Data'!M744=FALSE),"No",OR('Original Data'!M744=1,'Original Data'!M744="Yes",'Original Data'!M744=TRUE),"Yes")</f>
        <v>Yes</v>
      </c>
    </row>
    <row r="745" spans="1:13" x14ac:dyDescent="0.2">
      <c r="A745">
        <v>744</v>
      </c>
      <c r="B745" t="s">
        <v>42</v>
      </c>
      <c r="C745" s="5">
        <v>45015</v>
      </c>
      <c r="D745" t="s">
        <v>91</v>
      </c>
      <c r="E745" t="s">
        <v>15</v>
      </c>
      <c r="F745" t="s">
        <v>44</v>
      </c>
      <c r="H745">
        <v>1</v>
      </c>
      <c r="I745" s="7">
        <v>0</v>
      </c>
      <c r="J745">
        <v>129</v>
      </c>
      <c r="K745" t="str">
        <f>PROPER('Original Data'!K745)</f>
        <v>Apple Pay</v>
      </c>
      <c r="L745" t="s">
        <v>45</v>
      </c>
      <c r="M745" t="str" cm="1">
        <f t="array" ref="M745">_xlfn.IFS(OR('Original Data'!M745=0,'Original Data'!M745="No",'Original Data'!M745=FALSE),"No",OR('Original Data'!M745=1,'Original Data'!M745="Yes",'Original Data'!M745=TRUE),"Yes")</f>
        <v>Yes</v>
      </c>
    </row>
    <row r="746" spans="1:13" x14ac:dyDescent="0.2">
      <c r="A746">
        <v>745</v>
      </c>
      <c r="B746" t="s">
        <v>50</v>
      </c>
      <c r="C746" s="5">
        <v>45315</v>
      </c>
      <c r="D746" t="s">
        <v>51</v>
      </c>
      <c r="E746" t="s">
        <v>15</v>
      </c>
      <c r="F746" t="s">
        <v>34</v>
      </c>
      <c r="G746" t="s">
        <v>35</v>
      </c>
      <c r="H746">
        <v>2</v>
      </c>
      <c r="I746" s="7">
        <v>0</v>
      </c>
      <c r="J746">
        <v>139.9</v>
      </c>
      <c r="K746" t="str">
        <f>PROPER('Original Data'!K746)</f>
        <v>Credit Card</v>
      </c>
      <c r="L746" t="s">
        <v>30</v>
      </c>
      <c r="M746" t="str" cm="1">
        <f t="array" ref="M746">_xlfn.IFS(OR('Original Data'!M746=0,'Original Data'!M746="No",'Original Data'!M746=FALSE),"No",OR('Original Data'!M746=1,'Original Data'!M746="Yes",'Original Data'!M746=TRUE),"Yes")</f>
        <v>No</v>
      </c>
    </row>
    <row r="747" spans="1:13" x14ac:dyDescent="0.2">
      <c r="A747">
        <v>746</v>
      </c>
      <c r="B747" t="s">
        <v>24</v>
      </c>
      <c r="C747" s="5">
        <v>45519</v>
      </c>
      <c r="D747" t="str">
        <f>VLOOKUP(B747,'Original Data'!B:D,3,FALSE)</f>
        <v>NULL</v>
      </c>
      <c r="E747" t="str">
        <f>_xlfn.XLOOKUP('Cleaned Data'!B864,'Original Data'!B:B,'Original Data'!E:E)</f>
        <v>GAP</v>
      </c>
      <c r="F747" t="s">
        <v>53</v>
      </c>
      <c r="G747" t="s">
        <v>54</v>
      </c>
      <c r="H747">
        <v>3</v>
      </c>
      <c r="I747" s="7">
        <v>0</v>
      </c>
      <c r="J747">
        <v>134.85</v>
      </c>
      <c r="K747" t="str">
        <f>PROPER('Original Data'!K747)</f>
        <v>Cash</v>
      </c>
      <c r="L747" t="s">
        <v>41</v>
      </c>
      <c r="M747" t="s">
        <v>92</v>
      </c>
    </row>
    <row r="748" spans="1:13" x14ac:dyDescent="0.2">
      <c r="A748">
        <v>747</v>
      </c>
      <c r="B748" t="s">
        <v>85</v>
      </c>
      <c r="C748" s="5">
        <v>45643</v>
      </c>
      <c r="D748" t="s">
        <v>86</v>
      </c>
      <c r="E748" t="s">
        <v>76</v>
      </c>
      <c r="F748" t="s">
        <v>34</v>
      </c>
      <c r="G748" t="s">
        <v>35</v>
      </c>
      <c r="H748">
        <v>3</v>
      </c>
      <c r="I748" s="7">
        <v>0.1</v>
      </c>
      <c r="J748">
        <v>242.87</v>
      </c>
      <c r="K748" t="str">
        <f>PROPER('Original Data'!K748)</f>
        <v>Cash</v>
      </c>
      <c r="L748" t="s">
        <v>63</v>
      </c>
      <c r="M748" t="str" cm="1">
        <f t="array" ref="M748">_xlfn.IFS(OR('Original Data'!M748=0,'Original Data'!M748="No",'Original Data'!M748=FALSE),"No",OR('Original Data'!M748=1,'Original Data'!M748="Yes",'Original Data'!M748=TRUE),"Yes")</f>
        <v>Yes</v>
      </c>
    </row>
    <row r="749" spans="1:13" x14ac:dyDescent="0.2">
      <c r="A749">
        <v>748</v>
      </c>
      <c r="B749" t="s">
        <v>83</v>
      </c>
      <c r="C749" s="5">
        <v>45504</v>
      </c>
      <c r="D749" t="s">
        <v>84</v>
      </c>
      <c r="E749" t="s">
        <v>48</v>
      </c>
      <c r="F749" t="s">
        <v>66</v>
      </c>
      <c r="G749" t="s">
        <v>67</v>
      </c>
      <c r="H749">
        <v>2</v>
      </c>
      <c r="I749" s="7">
        <v>0.25</v>
      </c>
      <c r="J749">
        <v>74.930000000000007</v>
      </c>
      <c r="K749" t="str">
        <f>PROPER('Original Data'!K749)</f>
        <v>Cash</v>
      </c>
      <c r="L749" t="s">
        <v>49</v>
      </c>
      <c r="M749" t="str" cm="1">
        <f t="array" ref="M749">_xlfn.IFS(OR('Original Data'!M749=0,'Original Data'!M749="No",'Original Data'!M749=FALSE),"No",OR('Original Data'!M749=1,'Original Data'!M749="Yes",'Original Data'!M749=TRUE),"Yes")</f>
        <v>No</v>
      </c>
    </row>
    <row r="750" spans="1:13" x14ac:dyDescent="0.2">
      <c r="A750">
        <v>749</v>
      </c>
      <c r="B750" t="s">
        <v>46</v>
      </c>
      <c r="C750" s="5">
        <v>45405</v>
      </c>
      <c r="D750" t="s">
        <v>47</v>
      </c>
      <c r="E750" t="s">
        <v>48</v>
      </c>
      <c r="F750" t="s">
        <v>40</v>
      </c>
      <c r="G750" t="s">
        <v>17</v>
      </c>
      <c r="H750">
        <v>2</v>
      </c>
      <c r="I750" s="7">
        <v>0.15</v>
      </c>
      <c r="J750">
        <v>84.92</v>
      </c>
      <c r="K750" t="str">
        <f>PROPER('Original Data'!K750)</f>
        <v>Debit Card</v>
      </c>
      <c r="L750" t="s">
        <v>30</v>
      </c>
      <c r="M750" t="str" cm="1">
        <f t="array" ref="M750">_xlfn.IFS(OR('Original Data'!M750=0,'Original Data'!M750="No",'Original Data'!M750=FALSE),"No",OR('Original Data'!M750=1,'Original Data'!M750="Yes",'Original Data'!M750=TRUE),"Yes")</f>
        <v>No</v>
      </c>
    </row>
    <row r="751" spans="1:13" x14ac:dyDescent="0.2">
      <c r="A751">
        <v>750</v>
      </c>
      <c r="B751" t="s">
        <v>64</v>
      </c>
      <c r="C751" s="5">
        <v>45337</v>
      </c>
      <c r="D751" t="s">
        <v>65</v>
      </c>
      <c r="E751" t="s">
        <v>33</v>
      </c>
      <c r="G751" t="s">
        <v>25</v>
      </c>
      <c r="H751">
        <v>3</v>
      </c>
      <c r="I751" s="7">
        <v>0.15</v>
      </c>
      <c r="J751">
        <v>191.12</v>
      </c>
      <c r="K751" t="str">
        <f>PROPER('Original Data'!K751)</f>
        <v>Apple Pay</v>
      </c>
      <c r="L751" t="s">
        <v>41</v>
      </c>
      <c r="M751" t="str" cm="1">
        <f t="array" ref="M751">_xlfn.IFS(OR('Original Data'!M751=0,'Original Data'!M751="No",'Original Data'!M751=FALSE),"No",OR('Original Data'!M751=1,'Original Data'!M751="Yes",'Original Data'!M751=TRUE),"Yes")</f>
        <v>No</v>
      </c>
    </row>
    <row r="752" spans="1:13" x14ac:dyDescent="0.2">
      <c r="A752">
        <v>751</v>
      </c>
      <c r="B752" t="s">
        <v>81</v>
      </c>
      <c r="C752" s="5">
        <v>45538</v>
      </c>
      <c r="D752" t="s">
        <v>82</v>
      </c>
      <c r="E752" t="s">
        <v>15</v>
      </c>
      <c r="F752" t="s">
        <v>21</v>
      </c>
      <c r="G752" t="s">
        <v>22</v>
      </c>
      <c r="H752">
        <v>1</v>
      </c>
      <c r="I752" s="7">
        <v>0</v>
      </c>
      <c r="J752">
        <v>79.95</v>
      </c>
      <c r="K752" t="str">
        <f>PROPER('Original Data'!K752)</f>
        <v>Cash</v>
      </c>
      <c r="L752" t="s">
        <v>45</v>
      </c>
      <c r="M752" t="str" cm="1">
        <f t="array" ref="M752">_xlfn.IFS(OR('Original Data'!M752=0,'Original Data'!M752="No",'Original Data'!M752=FALSE),"No",OR('Original Data'!M752=1,'Original Data'!M752="Yes",'Original Data'!M752=TRUE),"Yes")</f>
        <v>Yes</v>
      </c>
    </row>
    <row r="753" spans="1:13" x14ac:dyDescent="0.2">
      <c r="A753">
        <v>752</v>
      </c>
      <c r="B753" t="s">
        <v>61</v>
      </c>
      <c r="C753" s="5">
        <v>45398</v>
      </c>
      <c r="D753" t="s">
        <v>62</v>
      </c>
      <c r="E753" t="s">
        <v>33</v>
      </c>
      <c r="F753" t="s">
        <v>53</v>
      </c>
      <c r="G753" t="s">
        <v>54</v>
      </c>
      <c r="H753">
        <v>3</v>
      </c>
      <c r="I753" s="7">
        <v>0.25</v>
      </c>
      <c r="J753">
        <v>78.73</v>
      </c>
      <c r="K753" t="str">
        <f>PROPER('Original Data'!K753)</f>
        <v>Debit Card</v>
      </c>
      <c r="L753" t="s">
        <v>28</v>
      </c>
      <c r="M753" t="str" cm="1">
        <f t="array" ref="M753">_xlfn.IFS(OR('Original Data'!M753=0,'Original Data'!M753="No",'Original Data'!M753=FALSE),"No",OR('Original Data'!M753=1,'Original Data'!M753="Yes",'Original Data'!M753=TRUE),"Yes")</f>
        <v>No</v>
      </c>
    </row>
    <row r="754" spans="1:13" x14ac:dyDescent="0.2">
      <c r="A754">
        <v>753</v>
      </c>
      <c r="B754" t="s">
        <v>56</v>
      </c>
      <c r="C754" s="5">
        <v>45279</v>
      </c>
      <c r="D754" t="s">
        <v>57</v>
      </c>
      <c r="E754" t="s">
        <v>48</v>
      </c>
      <c r="F754" t="s">
        <v>66</v>
      </c>
      <c r="G754" t="s">
        <v>67</v>
      </c>
      <c r="H754">
        <v>3</v>
      </c>
      <c r="I754" s="7">
        <v>0</v>
      </c>
      <c r="J754">
        <v>255</v>
      </c>
      <c r="K754" t="str">
        <f>PROPER('Original Data'!K754)</f>
        <v>Debit Card</v>
      </c>
      <c r="L754" t="s">
        <v>41</v>
      </c>
      <c r="M754" t="str" cm="1">
        <f t="array" ref="M754">_xlfn.IFS(OR('Original Data'!M754=0,'Original Data'!M754="No",'Original Data'!M754=FALSE),"No",OR('Original Data'!M754=1,'Original Data'!M754="Yes",'Original Data'!M754=TRUE),"Yes")</f>
        <v>Yes</v>
      </c>
    </row>
    <row r="755" spans="1:13" x14ac:dyDescent="0.2">
      <c r="A755">
        <v>754</v>
      </c>
      <c r="B755" t="s">
        <v>74</v>
      </c>
      <c r="C755" s="5">
        <v>45261</v>
      </c>
      <c r="D755" t="s">
        <v>75</v>
      </c>
      <c r="E755" t="s">
        <v>76</v>
      </c>
      <c r="F755" t="s">
        <v>16</v>
      </c>
      <c r="G755" t="s">
        <v>17</v>
      </c>
      <c r="H755">
        <v>2</v>
      </c>
      <c r="I755" s="7">
        <v>0.15</v>
      </c>
      <c r="J755">
        <v>76.42</v>
      </c>
      <c r="K755" t="str">
        <f>PROPER('Original Data'!K755)</f>
        <v>Gift Card</v>
      </c>
      <c r="L755" t="s">
        <v>45</v>
      </c>
      <c r="M755" t="str" cm="1">
        <f t="array" ref="M755">_xlfn.IFS(OR('Original Data'!M755=0,'Original Data'!M755="No",'Original Data'!M755=FALSE),"No",OR('Original Data'!M755=1,'Original Data'!M755="Yes",'Original Data'!M755=TRUE),"Yes")</f>
        <v>No</v>
      </c>
    </row>
    <row r="756" spans="1:13" x14ac:dyDescent="0.2">
      <c r="A756">
        <v>755</v>
      </c>
      <c r="B756" t="s">
        <v>71</v>
      </c>
      <c r="C756" s="5">
        <v>45275</v>
      </c>
      <c r="D756" t="s">
        <v>72</v>
      </c>
      <c r="E756" t="s">
        <v>33</v>
      </c>
      <c r="F756" t="s">
        <v>34</v>
      </c>
      <c r="G756" t="s">
        <v>35</v>
      </c>
      <c r="H756">
        <v>2</v>
      </c>
      <c r="I756" s="7">
        <v>0.05</v>
      </c>
      <c r="J756">
        <v>113.9</v>
      </c>
      <c r="K756" t="str">
        <f>PROPER('Original Data'!K756)</f>
        <v>Cash</v>
      </c>
      <c r="L756" t="s">
        <v>49</v>
      </c>
      <c r="M756" t="str" cm="1">
        <f t="array" ref="M756">_xlfn.IFS(OR('Original Data'!M756=0,'Original Data'!M756="No",'Original Data'!M756=FALSE),"No",OR('Original Data'!M756=1,'Original Data'!M756="Yes",'Original Data'!M756=TRUE),"Yes")</f>
        <v>Yes</v>
      </c>
    </row>
    <row r="757" spans="1:13" x14ac:dyDescent="0.2">
      <c r="A757">
        <v>756</v>
      </c>
      <c r="B757" t="s">
        <v>42</v>
      </c>
      <c r="C757" s="5">
        <v>45081</v>
      </c>
      <c r="D757" t="s">
        <v>91</v>
      </c>
      <c r="E757" t="s">
        <v>15</v>
      </c>
      <c r="F757" t="s">
        <v>21</v>
      </c>
      <c r="G757" t="s">
        <v>22</v>
      </c>
      <c r="H757">
        <v>3</v>
      </c>
      <c r="I757" s="7">
        <v>0.2</v>
      </c>
      <c r="J757">
        <v>309.60000000000002</v>
      </c>
      <c r="K757" t="str">
        <f>PROPER('Original Data'!K757)</f>
        <v>Gift Card</v>
      </c>
      <c r="L757" t="s">
        <v>45</v>
      </c>
      <c r="M757" t="str" cm="1">
        <f t="array" ref="M757">_xlfn.IFS(OR('Original Data'!M757=0,'Original Data'!M757="No",'Original Data'!M757=FALSE),"No",OR('Original Data'!M757=1,'Original Data'!M757="Yes",'Original Data'!M757=TRUE),"Yes")</f>
        <v>Yes</v>
      </c>
    </row>
    <row r="758" spans="1:13" x14ac:dyDescent="0.2">
      <c r="A758">
        <v>757</v>
      </c>
      <c r="B758" t="s">
        <v>24</v>
      </c>
      <c r="C758" s="5">
        <v>45341</v>
      </c>
      <c r="D758" t="str">
        <f>VLOOKUP(B758,'Original Data'!B:D,3,FALSE)</f>
        <v>NULL</v>
      </c>
      <c r="E758" t="str">
        <f>_xlfn.XLOOKUP('Cleaned Data'!B865,'Original Data'!B:B,'Original Data'!E:E)</f>
        <v>GAP</v>
      </c>
      <c r="F758" t="s">
        <v>16</v>
      </c>
      <c r="G758" t="s">
        <v>17</v>
      </c>
      <c r="H758">
        <v>1</v>
      </c>
      <c r="I758" s="7">
        <v>0.15</v>
      </c>
      <c r="J758">
        <v>38.21</v>
      </c>
      <c r="K758" t="str">
        <f>PROPER('Original Data'!K758)</f>
        <v>Apple Pay</v>
      </c>
      <c r="L758" t="s">
        <v>55</v>
      </c>
      <c r="M758" t="s">
        <v>92</v>
      </c>
    </row>
    <row r="759" spans="1:13" x14ac:dyDescent="0.2">
      <c r="A759">
        <v>758</v>
      </c>
      <c r="B759" t="s">
        <v>58</v>
      </c>
      <c r="C759" s="5">
        <v>45576</v>
      </c>
      <c r="D759" t="s">
        <v>59</v>
      </c>
      <c r="E759" t="s">
        <v>15</v>
      </c>
      <c r="F759" t="s">
        <v>21</v>
      </c>
      <c r="G759" t="s">
        <v>22</v>
      </c>
      <c r="H759">
        <v>3</v>
      </c>
      <c r="I759" s="7">
        <v>0.2</v>
      </c>
      <c r="J759">
        <v>143.88</v>
      </c>
      <c r="K759" t="str">
        <f>PROPER('Original Data'!K759)</f>
        <v>Apple Pay</v>
      </c>
      <c r="L759" t="s">
        <v>30</v>
      </c>
      <c r="M759" t="str" cm="1">
        <f t="array" ref="M759">_xlfn.IFS(OR('Original Data'!M759=0,'Original Data'!M759="No",'Original Data'!M759=FALSE),"No",OR('Original Data'!M759=1,'Original Data'!M759="Yes",'Original Data'!M759=TRUE),"Yes")</f>
        <v>Yes</v>
      </c>
    </row>
    <row r="760" spans="1:13" x14ac:dyDescent="0.2">
      <c r="A760">
        <v>759</v>
      </c>
      <c r="B760" t="s">
        <v>85</v>
      </c>
      <c r="C760" s="5">
        <v>44934</v>
      </c>
      <c r="D760" t="s">
        <v>86</v>
      </c>
      <c r="E760" t="s">
        <v>76</v>
      </c>
      <c r="F760" t="s">
        <v>66</v>
      </c>
      <c r="G760" t="s">
        <v>67</v>
      </c>
      <c r="H760">
        <v>5</v>
      </c>
      <c r="I760" s="7">
        <v>0.2</v>
      </c>
      <c r="J760">
        <v>359.8</v>
      </c>
      <c r="K760" t="str">
        <f>PROPER('Original Data'!K760)</f>
        <v>Debit Card</v>
      </c>
      <c r="L760" t="s">
        <v>55</v>
      </c>
      <c r="M760" t="str" cm="1">
        <f t="array" ref="M760">_xlfn.IFS(OR('Original Data'!M760=0,'Original Data'!M760="No",'Original Data'!M760=FALSE),"No",OR('Original Data'!M760=1,'Original Data'!M760="Yes",'Original Data'!M760=TRUE),"Yes")</f>
        <v>Yes</v>
      </c>
    </row>
    <row r="761" spans="1:13" x14ac:dyDescent="0.2">
      <c r="A761">
        <v>760</v>
      </c>
      <c r="B761" t="s">
        <v>46</v>
      </c>
      <c r="C761" s="5">
        <v>45540</v>
      </c>
      <c r="D761" t="s">
        <v>47</v>
      </c>
      <c r="E761" t="s">
        <v>48</v>
      </c>
      <c r="F761" t="s">
        <v>26</v>
      </c>
      <c r="G761" t="s">
        <v>22</v>
      </c>
      <c r="H761">
        <v>4</v>
      </c>
      <c r="I761" s="7">
        <v>0.25</v>
      </c>
      <c r="J761">
        <v>149.85</v>
      </c>
      <c r="K761" t="str">
        <f>PROPER('Original Data'!K761)</f>
        <v>Credit Card</v>
      </c>
      <c r="L761" t="s">
        <v>49</v>
      </c>
      <c r="M761" t="str" cm="1">
        <f t="array" ref="M761">_xlfn.IFS(OR('Original Data'!M761=0,'Original Data'!M761="No",'Original Data'!M761=FALSE),"No",OR('Original Data'!M761=1,'Original Data'!M761="Yes",'Original Data'!M761=TRUE),"Yes")</f>
        <v>No</v>
      </c>
    </row>
    <row r="762" spans="1:13" x14ac:dyDescent="0.2">
      <c r="A762">
        <v>761</v>
      </c>
      <c r="B762" t="s">
        <v>88</v>
      </c>
      <c r="C762" s="5">
        <v>44964</v>
      </c>
      <c r="D762" t="s">
        <v>89</v>
      </c>
      <c r="E762" t="s">
        <v>33</v>
      </c>
      <c r="F762" t="s">
        <v>44</v>
      </c>
      <c r="H762">
        <v>3</v>
      </c>
      <c r="I762" s="7">
        <v>0</v>
      </c>
      <c r="J762">
        <v>594</v>
      </c>
      <c r="K762" t="str">
        <f>PROPER('Original Data'!K762)</f>
        <v>Cash</v>
      </c>
      <c r="L762" t="s">
        <v>55</v>
      </c>
      <c r="M762" t="str" cm="1">
        <f t="array" ref="M762">_xlfn.IFS(OR('Original Data'!M762=0,'Original Data'!M762="No",'Original Data'!M762=FALSE),"No",OR('Original Data'!M762=1,'Original Data'!M762="Yes",'Original Data'!M762=TRUE),"Yes")</f>
        <v>No</v>
      </c>
    </row>
    <row r="763" spans="1:13" x14ac:dyDescent="0.2">
      <c r="A763">
        <v>762</v>
      </c>
      <c r="B763" t="s">
        <v>71</v>
      </c>
      <c r="C763" s="5">
        <v>45261</v>
      </c>
      <c r="D763" t="s">
        <v>72</v>
      </c>
      <c r="E763" t="s">
        <v>33</v>
      </c>
      <c r="G763" t="s">
        <v>25</v>
      </c>
      <c r="H763">
        <v>2</v>
      </c>
      <c r="I763" s="7">
        <v>0.25</v>
      </c>
      <c r="J763">
        <v>89.93</v>
      </c>
      <c r="K763" t="str">
        <f>PROPER('Original Data'!K763)</f>
        <v>Credit Card</v>
      </c>
      <c r="L763" t="s">
        <v>23</v>
      </c>
      <c r="M763" t="str" cm="1">
        <f t="array" ref="M763">_xlfn.IFS(OR('Original Data'!M763=0,'Original Data'!M763="No",'Original Data'!M763=FALSE),"No",OR('Original Data'!M763=1,'Original Data'!M763="Yes",'Original Data'!M763=TRUE),"Yes")</f>
        <v>Yes</v>
      </c>
    </row>
    <row r="764" spans="1:13" x14ac:dyDescent="0.2">
      <c r="A764">
        <v>763</v>
      </c>
      <c r="B764" t="s">
        <v>85</v>
      </c>
      <c r="C764" s="5">
        <v>45190</v>
      </c>
      <c r="D764" t="s">
        <v>86</v>
      </c>
      <c r="E764" t="s">
        <v>76</v>
      </c>
      <c r="F764" t="s">
        <v>53</v>
      </c>
      <c r="G764" t="s">
        <v>54</v>
      </c>
      <c r="H764">
        <v>4</v>
      </c>
      <c r="I764" s="7">
        <v>0</v>
      </c>
      <c r="J764">
        <v>359.8</v>
      </c>
      <c r="K764" t="str">
        <f>PROPER('Original Data'!K764)</f>
        <v>Apple Pay</v>
      </c>
      <c r="L764" t="s">
        <v>45</v>
      </c>
      <c r="M764" t="str" cm="1">
        <f t="array" ref="M764">_xlfn.IFS(OR('Original Data'!M764=0,'Original Data'!M764="No",'Original Data'!M764=FALSE),"No",OR('Original Data'!M764=1,'Original Data'!M764="Yes",'Original Data'!M764=TRUE),"Yes")</f>
        <v>Yes</v>
      </c>
    </row>
    <row r="765" spans="1:13" x14ac:dyDescent="0.2">
      <c r="A765">
        <v>764</v>
      </c>
      <c r="B765" t="s">
        <v>58</v>
      </c>
      <c r="C765" s="5">
        <v>45208</v>
      </c>
      <c r="D765" t="s">
        <v>59</v>
      </c>
      <c r="E765" t="s">
        <v>15</v>
      </c>
      <c r="F765" t="s">
        <v>34</v>
      </c>
      <c r="G765" t="s">
        <v>35</v>
      </c>
      <c r="H765">
        <v>3</v>
      </c>
      <c r="I765" s="7">
        <v>0</v>
      </c>
      <c r="J765">
        <v>179.85</v>
      </c>
      <c r="K765" t="str">
        <f>PROPER('Original Data'!K765)</f>
        <v>Gift Card</v>
      </c>
      <c r="L765" t="s">
        <v>63</v>
      </c>
      <c r="M765" t="str" cm="1">
        <f t="array" ref="M765">_xlfn.IFS(OR('Original Data'!M765=0,'Original Data'!M765="No",'Original Data'!M765=FALSE),"No",OR('Original Data'!M765=1,'Original Data'!M765="Yes",'Original Data'!M765=TRUE),"Yes")</f>
        <v>Yes</v>
      </c>
    </row>
    <row r="766" spans="1:13" x14ac:dyDescent="0.2">
      <c r="A766">
        <v>765</v>
      </c>
      <c r="B766" t="s">
        <v>85</v>
      </c>
      <c r="C766" s="5">
        <v>45540</v>
      </c>
      <c r="D766" t="s">
        <v>86</v>
      </c>
      <c r="E766" t="s">
        <v>76</v>
      </c>
      <c r="F766" t="s">
        <v>26</v>
      </c>
      <c r="G766" t="s">
        <v>22</v>
      </c>
      <c r="H766">
        <v>2</v>
      </c>
      <c r="I766" s="7">
        <v>0.1</v>
      </c>
      <c r="J766">
        <v>161.91</v>
      </c>
      <c r="K766" t="str">
        <f>PROPER('Original Data'!K766)</f>
        <v>Gift Card</v>
      </c>
      <c r="L766" t="s">
        <v>30</v>
      </c>
      <c r="M766" t="str" cm="1">
        <f t="array" ref="M766">_xlfn.IFS(OR('Original Data'!M766=0,'Original Data'!M766="No",'Original Data'!M766=FALSE),"No",OR('Original Data'!M766=1,'Original Data'!M766="Yes",'Original Data'!M766=TRUE),"Yes")</f>
        <v>Yes</v>
      </c>
    </row>
    <row r="767" spans="1:13" x14ac:dyDescent="0.2">
      <c r="A767">
        <v>766</v>
      </c>
      <c r="B767" t="s">
        <v>71</v>
      </c>
      <c r="C767" s="5">
        <v>44939</v>
      </c>
      <c r="D767" t="s">
        <v>72</v>
      </c>
      <c r="E767" t="s">
        <v>33</v>
      </c>
      <c r="F767" t="s">
        <v>21</v>
      </c>
      <c r="G767" t="s">
        <v>22</v>
      </c>
      <c r="H767">
        <v>3</v>
      </c>
      <c r="I767" s="7">
        <v>0.2</v>
      </c>
      <c r="J767">
        <v>143.88</v>
      </c>
      <c r="K767" t="s">
        <v>90</v>
      </c>
      <c r="L767" t="s">
        <v>41</v>
      </c>
      <c r="M767" t="str" cm="1">
        <f t="array" ref="M767">_xlfn.IFS(OR('Original Data'!M767=0,'Original Data'!M767="No",'Original Data'!M767=FALSE),"No",OR('Original Data'!M767=1,'Original Data'!M767="Yes",'Original Data'!M767=TRUE),"Yes")</f>
        <v>Yes</v>
      </c>
    </row>
    <row r="768" spans="1:13" x14ac:dyDescent="0.2">
      <c r="A768">
        <v>767</v>
      </c>
      <c r="B768" t="s">
        <v>74</v>
      </c>
      <c r="C768" s="5">
        <v>45280</v>
      </c>
      <c r="D768" t="s">
        <v>75</v>
      </c>
      <c r="E768" t="s">
        <v>76</v>
      </c>
      <c r="F768" t="s">
        <v>53</v>
      </c>
      <c r="G768" t="s">
        <v>54</v>
      </c>
      <c r="H768">
        <v>1</v>
      </c>
      <c r="I768" s="7">
        <v>0</v>
      </c>
      <c r="J768">
        <v>44.95</v>
      </c>
      <c r="K768" t="s">
        <v>90</v>
      </c>
      <c r="M768" t="str" cm="1">
        <f t="array" ref="M768">_xlfn.IFS(OR('Original Data'!M768=0,'Original Data'!M768="No",'Original Data'!M768=FALSE),"No",OR('Original Data'!M768=1,'Original Data'!M768="Yes",'Original Data'!M768=TRUE),"Yes")</f>
        <v>No</v>
      </c>
    </row>
    <row r="769" spans="1:13" x14ac:dyDescent="0.2">
      <c r="A769">
        <v>768</v>
      </c>
      <c r="B769" t="s">
        <v>71</v>
      </c>
      <c r="C769" s="5">
        <v>45217</v>
      </c>
      <c r="D769" t="s">
        <v>72</v>
      </c>
      <c r="E769" t="s">
        <v>33</v>
      </c>
      <c r="F769" t="s">
        <v>66</v>
      </c>
      <c r="G769" t="s">
        <v>67</v>
      </c>
      <c r="H769">
        <v>3</v>
      </c>
      <c r="I769" s="7">
        <v>0.2</v>
      </c>
      <c r="J769">
        <v>143.88</v>
      </c>
      <c r="K769" t="str">
        <f>PROPER('Original Data'!K769)</f>
        <v>Credit Card</v>
      </c>
      <c r="L769" t="s">
        <v>28</v>
      </c>
      <c r="M769" t="str" cm="1">
        <f t="array" ref="M769">_xlfn.IFS(OR('Original Data'!M769=0,'Original Data'!M769="No",'Original Data'!M769=FALSE),"No",OR('Original Data'!M769=1,'Original Data'!M769="Yes",'Original Data'!M769=TRUE),"Yes")</f>
        <v>Yes</v>
      </c>
    </row>
    <row r="770" spans="1:13" x14ac:dyDescent="0.2">
      <c r="A770">
        <v>769</v>
      </c>
      <c r="B770" t="s">
        <v>46</v>
      </c>
      <c r="C770" s="5">
        <v>45337</v>
      </c>
      <c r="D770" t="s">
        <v>47</v>
      </c>
      <c r="E770" t="s">
        <v>48</v>
      </c>
      <c r="F770" t="s">
        <v>34</v>
      </c>
      <c r="G770" t="s">
        <v>35</v>
      </c>
      <c r="H770">
        <v>5</v>
      </c>
      <c r="I770" s="7">
        <v>0.1</v>
      </c>
      <c r="J770">
        <v>224.78</v>
      </c>
      <c r="K770" t="str">
        <f>PROPER('Original Data'!K770)</f>
        <v>Debit Card</v>
      </c>
      <c r="L770" t="s">
        <v>45</v>
      </c>
      <c r="M770" t="str" cm="1">
        <f t="array" ref="M770">_xlfn.IFS(OR('Original Data'!M770=0,'Original Data'!M770="No",'Original Data'!M770=FALSE),"No",OR('Original Data'!M770=1,'Original Data'!M770="Yes",'Original Data'!M770=TRUE),"Yes")</f>
        <v>No</v>
      </c>
    </row>
    <row r="771" spans="1:13" x14ac:dyDescent="0.2">
      <c r="A771">
        <v>770</v>
      </c>
      <c r="B771" t="s">
        <v>78</v>
      </c>
      <c r="C771" s="5">
        <v>45433</v>
      </c>
      <c r="D771" t="str">
        <f>VLOOKUP(B771,'Original Data'!B:D,3,FALSE)</f>
        <v>Cargo Shorts</v>
      </c>
      <c r="E771" t="str">
        <f>_xlfn.XLOOKUP('Cleaned Data'!B984,'Original Data'!B:B,'Original Data'!E:E)</f>
        <v>GAP</v>
      </c>
      <c r="F771" t="s">
        <v>40</v>
      </c>
      <c r="G771" t="s">
        <v>17</v>
      </c>
      <c r="H771">
        <v>5</v>
      </c>
      <c r="I771" s="7">
        <v>0.2</v>
      </c>
      <c r="J771">
        <v>159.80000000000001</v>
      </c>
      <c r="K771" t="str">
        <f>PROPER('Original Data'!K771)</f>
        <v>Gift Card</v>
      </c>
      <c r="L771" t="s">
        <v>63</v>
      </c>
      <c r="M771" t="s">
        <v>92</v>
      </c>
    </row>
    <row r="772" spans="1:13" x14ac:dyDescent="0.2">
      <c r="A772">
        <v>771</v>
      </c>
      <c r="B772" t="s">
        <v>46</v>
      </c>
      <c r="C772" s="5">
        <v>45120</v>
      </c>
      <c r="D772" t="s">
        <v>47</v>
      </c>
      <c r="E772" t="s">
        <v>48</v>
      </c>
      <c r="G772" t="s">
        <v>25</v>
      </c>
      <c r="H772">
        <v>4</v>
      </c>
      <c r="I772" s="7">
        <v>0.2</v>
      </c>
      <c r="J772">
        <v>159.84</v>
      </c>
      <c r="K772" t="str">
        <f>PROPER('Original Data'!K772)</f>
        <v>Gift Card</v>
      </c>
      <c r="L772" t="s">
        <v>28</v>
      </c>
      <c r="M772" t="str" cm="1">
        <f t="array" ref="M772">_xlfn.IFS(OR('Original Data'!M772=0,'Original Data'!M772="No",'Original Data'!M772=FALSE),"No",OR('Original Data'!M772=1,'Original Data'!M772="Yes",'Original Data'!M772=TRUE),"Yes")</f>
        <v>No</v>
      </c>
    </row>
    <row r="773" spans="1:13" x14ac:dyDescent="0.2">
      <c r="A773">
        <v>772</v>
      </c>
      <c r="B773" t="s">
        <v>81</v>
      </c>
      <c r="C773" s="5">
        <v>45542</v>
      </c>
      <c r="D773" t="s">
        <v>82</v>
      </c>
      <c r="E773" t="s">
        <v>15</v>
      </c>
      <c r="F773" t="s">
        <v>66</v>
      </c>
      <c r="G773" t="s">
        <v>67</v>
      </c>
      <c r="H773">
        <v>4</v>
      </c>
      <c r="I773" s="7">
        <v>0</v>
      </c>
      <c r="J773">
        <v>319.8</v>
      </c>
      <c r="K773" t="str">
        <f>PROPER('Original Data'!K773)</f>
        <v>Credit Card</v>
      </c>
      <c r="L773" t="s">
        <v>49</v>
      </c>
      <c r="M773" t="str" cm="1">
        <f t="array" ref="M773">_xlfn.IFS(OR('Original Data'!M773=0,'Original Data'!M773="No",'Original Data'!M773=FALSE),"No",OR('Original Data'!M773=1,'Original Data'!M773="Yes",'Original Data'!M773=TRUE),"Yes")</f>
        <v>Yes</v>
      </c>
    </row>
    <row r="774" spans="1:13" x14ac:dyDescent="0.2">
      <c r="A774">
        <v>773</v>
      </c>
      <c r="B774" t="s">
        <v>88</v>
      </c>
      <c r="C774" s="5">
        <v>45138</v>
      </c>
      <c r="D774" t="s">
        <v>89</v>
      </c>
      <c r="E774" t="s">
        <v>33</v>
      </c>
      <c r="F774" t="s">
        <v>34</v>
      </c>
      <c r="G774" t="s">
        <v>35</v>
      </c>
      <c r="H774">
        <v>2</v>
      </c>
      <c r="I774" s="7">
        <v>0.1</v>
      </c>
      <c r="J774">
        <v>356.4</v>
      </c>
      <c r="K774" t="str">
        <f>PROPER('Original Data'!K774)</f>
        <v>Credit Card</v>
      </c>
      <c r="L774" t="s">
        <v>55</v>
      </c>
      <c r="M774" t="str" cm="1">
        <f t="array" ref="M774">_xlfn.IFS(OR('Original Data'!M774=0,'Original Data'!M774="No",'Original Data'!M774=FALSE),"No",OR('Original Data'!M774=1,'Original Data'!M774="Yes",'Original Data'!M774=TRUE),"Yes")</f>
        <v>No</v>
      </c>
    </row>
    <row r="775" spans="1:13" x14ac:dyDescent="0.2">
      <c r="A775">
        <v>774</v>
      </c>
      <c r="B775" t="s">
        <v>31</v>
      </c>
      <c r="C775" s="5">
        <v>44960</v>
      </c>
      <c r="D775" t="s">
        <v>32</v>
      </c>
      <c r="E775" t="s">
        <v>33</v>
      </c>
      <c r="F775" t="s">
        <v>40</v>
      </c>
      <c r="G775" t="s">
        <v>17</v>
      </c>
      <c r="H775">
        <v>2</v>
      </c>
      <c r="I775" s="7">
        <v>0.25</v>
      </c>
      <c r="J775">
        <v>119.93</v>
      </c>
      <c r="K775" t="str">
        <f>PROPER('Original Data'!K775)</f>
        <v>Credit Card</v>
      </c>
      <c r="L775" t="s">
        <v>55</v>
      </c>
      <c r="M775" t="str" cm="1">
        <f t="array" ref="M775">_xlfn.IFS(OR('Original Data'!M775=0,'Original Data'!M775="No",'Original Data'!M775=FALSE),"No",OR('Original Data'!M775=1,'Original Data'!M775="Yes",'Original Data'!M775=TRUE),"Yes")</f>
        <v>No</v>
      </c>
    </row>
    <row r="776" spans="1:13" x14ac:dyDescent="0.2">
      <c r="A776">
        <v>775</v>
      </c>
      <c r="B776" t="s">
        <v>71</v>
      </c>
      <c r="C776" s="5">
        <v>44988</v>
      </c>
      <c r="D776" t="s">
        <v>72</v>
      </c>
      <c r="E776" t="s">
        <v>33</v>
      </c>
      <c r="F776" t="s">
        <v>16</v>
      </c>
      <c r="G776" t="s">
        <v>17</v>
      </c>
      <c r="H776">
        <v>5</v>
      </c>
      <c r="I776" s="7">
        <v>0</v>
      </c>
      <c r="J776">
        <v>299.75</v>
      </c>
      <c r="K776" t="str">
        <f>PROPER('Original Data'!K776)</f>
        <v>Gift Card</v>
      </c>
      <c r="L776" t="s">
        <v>41</v>
      </c>
      <c r="M776" t="str" cm="1">
        <f t="array" ref="M776">_xlfn.IFS(OR('Original Data'!M776=0,'Original Data'!M776="No",'Original Data'!M776=FALSE),"No",OR('Original Data'!M776=1,'Original Data'!M776="Yes",'Original Data'!M776=TRUE),"Yes")</f>
        <v>Yes</v>
      </c>
    </row>
    <row r="777" spans="1:13" x14ac:dyDescent="0.2">
      <c r="A777">
        <v>776</v>
      </c>
      <c r="B777" t="s">
        <v>46</v>
      </c>
      <c r="C777" s="5">
        <v>45100</v>
      </c>
      <c r="D777" t="s">
        <v>47</v>
      </c>
      <c r="E777" t="s">
        <v>48</v>
      </c>
      <c r="F777" t="s">
        <v>16</v>
      </c>
      <c r="G777" t="s">
        <v>17</v>
      </c>
      <c r="H777">
        <v>2</v>
      </c>
      <c r="I777" s="7">
        <v>0.1</v>
      </c>
      <c r="J777">
        <v>89.91</v>
      </c>
      <c r="K777" t="str">
        <f>PROPER('Original Data'!K777)</f>
        <v>Apple Pay</v>
      </c>
      <c r="L777" t="s">
        <v>55</v>
      </c>
      <c r="M777" t="str" cm="1">
        <f t="array" ref="M777">_xlfn.IFS(OR('Original Data'!M777=0,'Original Data'!M777="No",'Original Data'!M777=FALSE),"No",OR('Original Data'!M777=1,'Original Data'!M777="Yes",'Original Data'!M777=TRUE),"Yes")</f>
        <v>No</v>
      </c>
    </row>
    <row r="778" spans="1:13" x14ac:dyDescent="0.2">
      <c r="A778">
        <v>777</v>
      </c>
      <c r="B778" t="s">
        <v>19</v>
      </c>
      <c r="C778" s="5">
        <v>45382</v>
      </c>
      <c r="D778" t="s">
        <v>20</v>
      </c>
      <c r="E778" t="s">
        <v>15</v>
      </c>
      <c r="F778" t="s">
        <v>44</v>
      </c>
      <c r="H778">
        <v>3</v>
      </c>
      <c r="I778" s="7">
        <v>0.15</v>
      </c>
      <c r="J778">
        <v>229.37</v>
      </c>
      <c r="K778" t="str">
        <f>PROPER('Original Data'!K778)</f>
        <v>Apple Pay</v>
      </c>
      <c r="L778" t="s">
        <v>30</v>
      </c>
      <c r="M778" t="str" cm="1">
        <f t="array" ref="M778">_xlfn.IFS(OR('Original Data'!M778=0,'Original Data'!M778="No",'Original Data'!M778=FALSE),"No",OR('Original Data'!M778=1,'Original Data'!M778="Yes",'Original Data'!M778=TRUE),"Yes")</f>
        <v>Yes</v>
      </c>
    </row>
    <row r="779" spans="1:13" x14ac:dyDescent="0.2">
      <c r="A779">
        <v>778</v>
      </c>
      <c r="B779" t="s">
        <v>81</v>
      </c>
      <c r="C779" s="5">
        <v>45089</v>
      </c>
      <c r="D779" t="s">
        <v>82</v>
      </c>
      <c r="E779" t="s">
        <v>15</v>
      </c>
      <c r="F779" t="s">
        <v>40</v>
      </c>
      <c r="G779" t="s">
        <v>17</v>
      </c>
      <c r="H779">
        <v>3</v>
      </c>
      <c r="I779" s="7">
        <v>0.1</v>
      </c>
      <c r="J779">
        <v>215.87</v>
      </c>
      <c r="K779" t="str">
        <f>PROPER('Original Data'!K779)</f>
        <v>Apple Pay</v>
      </c>
      <c r="L779" t="s">
        <v>30</v>
      </c>
      <c r="M779" t="str" cm="1">
        <f t="array" ref="M779">_xlfn.IFS(OR('Original Data'!M779=0,'Original Data'!M779="No",'Original Data'!M779=FALSE),"No",OR('Original Data'!M779=1,'Original Data'!M779="Yes",'Original Data'!M779=TRUE),"Yes")</f>
        <v>Yes</v>
      </c>
    </row>
    <row r="780" spans="1:13" x14ac:dyDescent="0.2">
      <c r="A780">
        <v>779</v>
      </c>
      <c r="B780" t="s">
        <v>64</v>
      </c>
      <c r="C780" s="5">
        <v>45237</v>
      </c>
      <c r="D780" t="s">
        <v>65</v>
      </c>
      <c r="E780" t="s">
        <v>33</v>
      </c>
      <c r="F780" t="s">
        <v>21</v>
      </c>
      <c r="G780" t="s">
        <v>22</v>
      </c>
      <c r="H780">
        <v>2</v>
      </c>
      <c r="I780" s="7">
        <v>0</v>
      </c>
      <c r="J780">
        <v>149.9</v>
      </c>
      <c r="K780" t="s">
        <v>90</v>
      </c>
      <c r="L780" t="s">
        <v>63</v>
      </c>
      <c r="M780" t="str" cm="1">
        <f t="array" ref="M780">_xlfn.IFS(OR('Original Data'!M780=0,'Original Data'!M780="No",'Original Data'!M780=FALSE),"No",OR('Original Data'!M780=1,'Original Data'!M780="Yes",'Original Data'!M780=TRUE),"Yes")</f>
        <v>No</v>
      </c>
    </row>
    <row r="781" spans="1:13" x14ac:dyDescent="0.2">
      <c r="A781">
        <v>780</v>
      </c>
      <c r="B781" t="s">
        <v>61</v>
      </c>
      <c r="C781" s="5">
        <v>45423</v>
      </c>
      <c r="D781" t="s">
        <v>62</v>
      </c>
      <c r="E781" t="s">
        <v>33</v>
      </c>
      <c r="F781" t="s">
        <v>40</v>
      </c>
      <c r="G781" t="s">
        <v>17</v>
      </c>
      <c r="H781">
        <v>5</v>
      </c>
      <c r="I781" s="7">
        <v>0.15</v>
      </c>
      <c r="J781">
        <v>148.71</v>
      </c>
      <c r="K781" t="str">
        <f>PROPER('Original Data'!K781)</f>
        <v>Gift Card</v>
      </c>
      <c r="L781" t="s">
        <v>49</v>
      </c>
      <c r="M781" t="str" cm="1">
        <f t="array" ref="M781">_xlfn.IFS(OR('Original Data'!M781=0,'Original Data'!M781="No",'Original Data'!M781=FALSE),"No",OR('Original Data'!M781=1,'Original Data'!M781="Yes",'Original Data'!M781=TRUE),"Yes")</f>
        <v>No</v>
      </c>
    </row>
    <row r="782" spans="1:13" x14ac:dyDescent="0.2">
      <c r="A782">
        <v>781</v>
      </c>
      <c r="B782" t="s">
        <v>61</v>
      </c>
      <c r="C782" s="5">
        <v>45437</v>
      </c>
      <c r="D782" t="s">
        <v>62</v>
      </c>
      <c r="E782" t="s">
        <v>33</v>
      </c>
      <c r="F782" t="s">
        <v>34</v>
      </c>
      <c r="G782" t="s">
        <v>35</v>
      </c>
      <c r="H782">
        <v>3</v>
      </c>
      <c r="I782" s="7">
        <v>0</v>
      </c>
      <c r="J782">
        <v>104.97</v>
      </c>
      <c r="K782" t="str">
        <f>PROPER('Original Data'!K782)</f>
        <v>Cash</v>
      </c>
      <c r="L782" t="s">
        <v>63</v>
      </c>
      <c r="M782" t="str" cm="1">
        <f t="array" ref="M782">_xlfn.IFS(OR('Original Data'!M782=0,'Original Data'!M782="No",'Original Data'!M782=FALSE),"No",OR('Original Data'!M782=1,'Original Data'!M782="Yes",'Original Data'!M782=TRUE),"Yes")</f>
        <v>No</v>
      </c>
    </row>
    <row r="783" spans="1:13" x14ac:dyDescent="0.2">
      <c r="A783">
        <v>782</v>
      </c>
      <c r="B783" t="s">
        <v>58</v>
      </c>
      <c r="C783" s="5">
        <v>44995</v>
      </c>
      <c r="D783" t="str">
        <f>VLOOKUP(B783,'Original Data'!B:D,3,FALSE)</f>
        <v>Slim Chino Pants</v>
      </c>
      <c r="E783" t="str">
        <f>_xlfn.XLOOKUP('Cleaned Data'!B89,'Original Data'!B:B,'Original Data'!E:E)</f>
        <v>Banana Republic</v>
      </c>
      <c r="F783" t="s">
        <v>40</v>
      </c>
      <c r="G783" t="s">
        <v>17</v>
      </c>
      <c r="H783">
        <v>4</v>
      </c>
      <c r="I783" s="7">
        <v>0</v>
      </c>
      <c r="J783">
        <v>239.8</v>
      </c>
      <c r="K783" t="s">
        <v>90</v>
      </c>
      <c r="L783" t="s">
        <v>49</v>
      </c>
      <c r="M783" t="s">
        <v>92</v>
      </c>
    </row>
    <row r="784" spans="1:13" x14ac:dyDescent="0.2">
      <c r="A784">
        <v>783</v>
      </c>
      <c r="B784" t="s">
        <v>31</v>
      </c>
      <c r="C784" s="5">
        <v>44968</v>
      </c>
      <c r="D784" t="s">
        <v>32</v>
      </c>
      <c r="E784" t="s">
        <v>33</v>
      </c>
      <c r="F784" t="s">
        <v>53</v>
      </c>
      <c r="G784" t="s">
        <v>54</v>
      </c>
      <c r="H784">
        <v>2</v>
      </c>
      <c r="I784" s="7">
        <v>0.05</v>
      </c>
      <c r="J784">
        <v>151.9</v>
      </c>
      <c r="K784" t="str">
        <f>PROPER('Original Data'!K784)</f>
        <v>Debit Card</v>
      </c>
      <c r="L784" t="s">
        <v>41</v>
      </c>
      <c r="M784" t="str" cm="1">
        <f t="array" ref="M784">_xlfn.IFS(OR('Original Data'!M784=0,'Original Data'!M784="No",'Original Data'!M784=FALSE),"No",OR('Original Data'!M784=1,'Original Data'!M784="Yes",'Original Data'!M784=TRUE),"Yes")</f>
        <v>No</v>
      </c>
    </row>
    <row r="785" spans="1:13" x14ac:dyDescent="0.2">
      <c r="A785">
        <v>784</v>
      </c>
      <c r="B785" t="s">
        <v>19</v>
      </c>
      <c r="C785" s="5">
        <v>45476</v>
      </c>
      <c r="D785" t="s">
        <v>20</v>
      </c>
      <c r="E785" t="s">
        <v>15</v>
      </c>
      <c r="F785" t="s">
        <v>34</v>
      </c>
      <c r="G785" t="s">
        <v>35</v>
      </c>
      <c r="H785">
        <v>2</v>
      </c>
      <c r="I785" s="7">
        <v>0.25</v>
      </c>
      <c r="J785">
        <v>134.93</v>
      </c>
      <c r="K785" t="str">
        <f>PROPER('Original Data'!K785)</f>
        <v>Credit Card</v>
      </c>
      <c r="L785" t="s">
        <v>41</v>
      </c>
      <c r="M785" t="str" cm="1">
        <f t="array" ref="M785">_xlfn.IFS(OR('Original Data'!M785=0,'Original Data'!M785="No",'Original Data'!M785=FALSE),"No",OR('Original Data'!M785=1,'Original Data'!M785="Yes",'Original Data'!M785=TRUE),"Yes")</f>
        <v>Yes</v>
      </c>
    </row>
    <row r="786" spans="1:13" x14ac:dyDescent="0.2">
      <c r="A786">
        <v>785</v>
      </c>
      <c r="B786" t="s">
        <v>50</v>
      </c>
      <c r="C786" s="5">
        <v>45380</v>
      </c>
      <c r="D786" t="s">
        <v>51</v>
      </c>
      <c r="E786" t="s">
        <v>15</v>
      </c>
      <c r="F786" t="s">
        <v>44</v>
      </c>
      <c r="H786">
        <v>5</v>
      </c>
      <c r="I786" s="7">
        <v>0</v>
      </c>
      <c r="J786">
        <v>349.75</v>
      </c>
      <c r="K786" t="str">
        <f>PROPER('Original Data'!K786)</f>
        <v>Credit Card</v>
      </c>
      <c r="L786" t="s">
        <v>28</v>
      </c>
      <c r="M786" t="str" cm="1">
        <f t="array" ref="M786">_xlfn.IFS(OR('Original Data'!M786=0,'Original Data'!M786="No",'Original Data'!M786=FALSE),"No",OR('Original Data'!M786=1,'Original Data'!M786="Yes",'Original Data'!M786=TRUE),"Yes")</f>
        <v>No</v>
      </c>
    </row>
    <row r="787" spans="1:13" x14ac:dyDescent="0.2">
      <c r="A787">
        <v>786</v>
      </c>
      <c r="B787" t="s">
        <v>88</v>
      </c>
      <c r="C787" s="5">
        <v>45233</v>
      </c>
      <c r="D787" t="s">
        <v>89</v>
      </c>
      <c r="E787" t="s">
        <v>33</v>
      </c>
      <c r="F787" t="s">
        <v>66</v>
      </c>
      <c r="G787" t="s">
        <v>67</v>
      </c>
      <c r="H787">
        <v>5</v>
      </c>
      <c r="I787" s="7">
        <v>0.25</v>
      </c>
      <c r="J787">
        <v>742.5</v>
      </c>
      <c r="K787" t="str">
        <f>PROPER('Original Data'!K787)</f>
        <v>Apple Pay</v>
      </c>
      <c r="L787" t="s">
        <v>30</v>
      </c>
      <c r="M787" t="str" cm="1">
        <f t="array" ref="M787">_xlfn.IFS(OR('Original Data'!M787=0,'Original Data'!M787="No",'Original Data'!M787=FALSE),"No",OR('Original Data'!M787=1,'Original Data'!M787="Yes",'Original Data'!M787=TRUE),"Yes")</f>
        <v>No</v>
      </c>
    </row>
    <row r="788" spans="1:13" x14ac:dyDescent="0.2">
      <c r="A788">
        <v>787</v>
      </c>
      <c r="B788" t="s">
        <v>13</v>
      </c>
      <c r="C788" s="5">
        <v>45110</v>
      </c>
      <c r="D788" t="s">
        <v>14</v>
      </c>
      <c r="E788" t="s">
        <v>15</v>
      </c>
      <c r="F788" t="s">
        <v>44</v>
      </c>
      <c r="H788">
        <v>3</v>
      </c>
      <c r="I788" s="7">
        <v>0.25</v>
      </c>
      <c r="J788">
        <v>44.98</v>
      </c>
      <c r="K788" t="str">
        <f>PROPER('Original Data'!K788)</f>
        <v>Debit Card</v>
      </c>
      <c r="L788" t="s">
        <v>41</v>
      </c>
      <c r="M788" t="str" cm="1">
        <f t="array" ref="M788">_xlfn.IFS(OR('Original Data'!M788=0,'Original Data'!M788="No",'Original Data'!M788=FALSE),"No",OR('Original Data'!M788=1,'Original Data'!M788="Yes",'Original Data'!M788=TRUE),"Yes")</f>
        <v>No</v>
      </c>
    </row>
    <row r="789" spans="1:13" x14ac:dyDescent="0.2">
      <c r="A789">
        <v>788</v>
      </c>
      <c r="B789" t="s">
        <v>19</v>
      </c>
      <c r="C789" s="5">
        <v>45470</v>
      </c>
      <c r="D789" t="s">
        <v>20</v>
      </c>
      <c r="E789" t="s">
        <v>15</v>
      </c>
      <c r="F789" t="s">
        <v>16</v>
      </c>
      <c r="G789" t="s">
        <v>17</v>
      </c>
      <c r="H789">
        <v>2</v>
      </c>
      <c r="I789" s="7">
        <v>0.1</v>
      </c>
      <c r="J789">
        <v>161.91</v>
      </c>
      <c r="K789" t="str">
        <f>PROPER('Original Data'!K789)</f>
        <v>Cash</v>
      </c>
      <c r="L789" t="s">
        <v>30</v>
      </c>
      <c r="M789" t="str" cm="1">
        <f t="array" ref="M789">_xlfn.IFS(OR('Original Data'!M789=0,'Original Data'!M789="No",'Original Data'!M789=FALSE),"No",OR('Original Data'!M789=1,'Original Data'!M789="Yes",'Original Data'!M789=TRUE),"Yes")</f>
        <v>Yes</v>
      </c>
    </row>
    <row r="790" spans="1:13" x14ac:dyDescent="0.2">
      <c r="A790">
        <v>789</v>
      </c>
      <c r="B790" t="s">
        <v>71</v>
      </c>
      <c r="C790" s="5">
        <v>45536</v>
      </c>
      <c r="D790" t="s">
        <v>72</v>
      </c>
      <c r="E790" t="s">
        <v>33</v>
      </c>
      <c r="F790" t="s">
        <v>66</v>
      </c>
      <c r="G790" t="s">
        <v>67</v>
      </c>
      <c r="H790">
        <v>2</v>
      </c>
      <c r="I790" s="7">
        <v>0.15</v>
      </c>
      <c r="J790">
        <v>101.92</v>
      </c>
      <c r="K790" t="str">
        <f>PROPER('Original Data'!K790)</f>
        <v>Apple Pay</v>
      </c>
      <c r="L790" t="s">
        <v>41</v>
      </c>
      <c r="M790" t="str" cm="1">
        <f t="array" ref="M790">_xlfn.IFS(OR('Original Data'!M790=0,'Original Data'!M790="No",'Original Data'!M790=FALSE),"No",OR('Original Data'!M790=1,'Original Data'!M790="Yes",'Original Data'!M790=TRUE),"Yes")</f>
        <v>Yes</v>
      </c>
    </row>
    <row r="791" spans="1:13" x14ac:dyDescent="0.2">
      <c r="A791">
        <v>790</v>
      </c>
      <c r="B791" t="s">
        <v>88</v>
      </c>
      <c r="C791" s="5">
        <v>45329</v>
      </c>
      <c r="D791" t="s">
        <v>89</v>
      </c>
      <c r="E791" t="s">
        <v>33</v>
      </c>
      <c r="G791" t="s">
        <v>25</v>
      </c>
      <c r="H791">
        <v>4</v>
      </c>
      <c r="I791" s="7">
        <v>0.1</v>
      </c>
      <c r="J791">
        <v>712.8</v>
      </c>
      <c r="K791" t="s">
        <v>90</v>
      </c>
      <c r="L791" t="s">
        <v>28</v>
      </c>
      <c r="M791" t="str" cm="1">
        <f t="array" ref="M791">_xlfn.IFS(OR('Original Data'!M791=0,'Original Data'!M791="No",'Original Data'!M791=FALSE),"No",OR('Original Data'!M791=1,'Original Data'!M791="Yes",'Original Data'!M791=TRUE),"Yes")</f>
        <v>No</v>
      </c>
    </row>
    <row r="792" spans="1:13" x14ac:dyDescent="0.2">
      <c r="A792">
        <v>791</v>
      </c>
      <c r="B792" t="s">
        <v>37</v>
      </c>
      <c r="C792" s="5">
        <v>45256</v>
      </c>
      <c r="D792" t="s">
        <v>38</v>
      </c>
      <c r="E792" t="s">
        <v>39</v>
      </c>
      <c r="F792" t="s">
        <v>34</v>
      </c>
      <c r="G792" t="s">
        <v>35</v>
      </c>
      <c r="H792">
        <v>3</v>
      </c>
      <c r="I792" s="7">
        <v>0.1</v>
      </c>
      <c r="J792">
        <v>175.37</v>
      </c>
      <c r="K792" t="str">
        <f>PROPER('Original Data'!K792)</f>
        <v>Credit Card</v>
      </c>
      <c r="L792" t="s">
        <v>49</v>
      </c>
      <c r="M792" t="str" cm="1">
        <f t="array" ref="M792">_xlfn.IFS(OR('Original Data'!M792=0,'Original Data'!M792="No",'Original Data'!M792=FALSE),"No",OR('Original Data'!M792=1,'Original Data'!M792="Yes",'Original Data'!M792=TRUE),"Yes")</f>
        <v>Yes</v>
      </c>
    </row>
    <row r="793" spans="1:13" x14ac:dyDescent="0.2">
      <c r="A793">
        <v>792</v>
      </c>
      <c r="B793" t="s">
        <v>31</v>
      </c>
      <c r="C793" s="5">
        <v>45602</v>
      </c>
      <c r="D793" t="s">
        <v>32</v>
      </c>
      <c r="E793" t="s">
        <v>33</v>
      </c>
      <c r="F793" t="s">
        <v>34</v>
      </c>
      <c r="G793" t="s">
        <v>35</v>
      </c>
      <c r="H793">
        <v>3</v>
      </c>
      <c r="I793" s="7">
        <v>0.25</v>
      </c>
      <c r="J793">
        <v>179.89</v>
      </c>
      <c r="K793" t="str">
        <f>PROPER('Original Data'!K793)</f>
        <v>Credit Card</v>
      </c>
      <c r="L793" t="s">
        <v>41</v>
      </c>
      <c r="M793" t="str" cm="1">
        <f t="array" ref="M793">_xlfn.IFS(OR('Original Data'!M793=0,'Original Data'!M793="No",'Original Data'!M793=FALSE),"No",OR('Original Data'!M793=1,'Original Data'!M793="Yes",'Original Data'!M793=TRUE),"Yes")</f>
        <v>No</v>
      </c>
    </row>
    <row r="794" spans="1:13" x14ac:dyDescent="0.2">
      <c r="A794">
        <v>793</v>
      </c>
      <c r="B794" t="s">
        <v>56</v>
      </c>
      <c r="C794" s="5">
        <v>45410</v>
      </c>
      <c r="D794" t="s">
        <v>57</v>
      </c>
      <c r="E794" t="s">
        <v>48</v>
      </c>
      <c r="F794" t="s">
        <v>53</v>
      </c>
      <c r="G794" t="s">
        <v>54</v>
      </c>
      <c r="H794">
        <v>3</v>
      </c>
      <c r="I794" s="7">
        <v>0.25</v>
      </c>
      <c r="J794">
        <v>191.25</v>
      </c>
      <c r="K794" t="str">
        <f>PROPER('Original Data'!K794)</f>
        <v>Credit Card</v>
      </c>
      <c r="L794" t="s">
        <v>30</v>
      </c>
      <c r="M794" t="str" cm="1">
        <f t="array" ref="M794">_xlfn.IFS(OR('Original Data'!M794=0,'Original Data'!M794="No",'Original Data'!M794=FALSE),"No",OR('Original Data'!M794=1,'Original Data'!M794="Yes",'Original Data'!M794=TRUE),"Yes")</f>
        <v>Yes</v>
      </c>
    </row>
    <row r="795" spans="1:13" x14ac:dyDescent="0.2">
      <c r="A795">
        <v>794</v>
      </c>
      <c r="B795" t="s">
        <v>56</v>
      </c>
      <c r="C795" s="5">
        <v>45513</v>
      </c>
      <c r="D795" t="s">
        <v>57</v>
      </c>
      <c r="E795" t="s">
        <v>48</v>
      </c>
      <c r="F795" t="s">
        <v>34</v>
      </c>
      <c r="G795" t="s">
        <v>35</v>
      </c>
      <c r="H795">
        <v>1</v>
      </c>
      <c r="I795" s="7">
        <v>0.25</v>
      </c>
      <c r="J795">
        <v>63.75</v>
      </c>
      <c r="K795" t="str">
        <f>PROPER('Original Data'!K795)</f>
        <v>Cash</v>
      </c>
      <c r="M795" t="str" cm="1">
        <f t="array" ref="M795">_xlfn.IFS(OR('Original Data'!M795=0,'Original Data'!M795="No",'Original Data'!M795=FALSE),"No",OR('Original Data'!M795=1,'Original Data'!M795="Yes",'Original Data'!M795=TRUE),"Yes")</f>
        <v>Yes</v>
      </c>
    </row>
    <row r="796" spans="1:13" x14ac:dyDescent="0.2">
      <c r="A796">
        <v>795</v>
      </c>
      <c r="B796" t="s">
        <v>68</v>
      </c>
      <c r="C796" s="5">
        <v>45406</v>
      </c>
      <c r="D796" t="s">
        <v>69</v>
      </c>
      <c r="E796" t="s">
        <v>33</v>
      </c>
      <c r="F796" t="s">
        <v>40</v>
      </c>
      <c r="G796" t="s">
        <v>17</v>
      </c>
      <c r="H796">
        <v>4</v>
      </c>
      <c r="I796" s="7">
        <v>0.05</v>
      </c>
      <c r="J796">
        <v>452.2</v>
      </c>
      <c r="K796" t="str">
        <f>PROPER('Original Data'!K796)</f>
        <v>Cash</v>
      </c>
      <c r="M796" t="str" cm="1">
        <f t="array" ref="M796">_xlfn.IFS(OR('Original Data'!M796=0,'Original Data'!M796="No",'Original Data'!M796=FALSE),"No",OR('Original Data'!M796=1,'Original Data'!M796="Yes",'Original Data'!M796=TRUE),"Yes")</f>
        <v>No</v>
      </c>
    </row>
    <row r="797" spans="1:13" x14ac:dyDescent="0.2">
      <c r="A797">
        <v>796</v>
      </c>
      <c r="B797" t="s">
        <v>85</v>
      </c>
      <c r="C797" s="5">
        <v>44988</v>
      </c>
      <c r="D797" t="s">
        <v>86</v>
      </c>
      <c r="E797" t="s">
        <v>76</v>
      </c>
      <c r="F797" t="s">
        <v>21</v>
      </c>
      <c r="G797" t="s">
        <v>22</v>
      </c>
      <c r="H797">
        <v>4</v>
      </c>
      <c r="I797" s="7">
        <v>0.25</v>
      </c>
      <c r="J797">
        <v>269.85000000000002</v>
      </c>
      <c r="K797" t="s">
        <v>90</v>
      </c>
      <c r="L797" t="s">
        <v>23</v>
      </c>
      <c r="M797" t="str" cm="1">
        <f t="array" ref="M797">_xlfn.IFS(OR('Original Data'!M797=0,'Original Data'!M797="No",'Original Data'!M797=FALSE),"No",OR('Original Data'!M797=1,'Original Data'!M797="Yes",'Original Data'!M797=TRUE),"Yes")</f>
        <v>Yes</v>
      </c>
    </row>
    <row r="798" spans="1:13" x14ac:dyDescent="0.2">
      <c r="A798">
        <v>797</v>
      </c>
      <c r="B798" t="s">
        <v>42</v>
      </c>
      <c r="C798" s="5">
        <v>45089</v>
      </c>
      <c r="D798" t="s">
        <v>91</v>
      </c>
      <c r="E798" t="s">
        <v>15</v>
      </c>
      <c r="F798" t="s">
        <v>40</v>
      </c>
      <c r="G798" t="s">
        <v>17</v>
      </c>
      <c r="H798">
        <v>1</v>
      </c>
      <c r="I798" s="7">
        <v>0</v>
      </c>
      <c r="J798">
        <v>129</v>
      </c>
      <c r="K798" t="s">
        <v>90</v>
      </c>
      <c r="L798" t="s">
        <v>55</v>
      </c>
      <c r="M798" t="str" cm="1">
        <f t="array" ref="M798">_xlfn.IFS(OR('Original Data'!M798=0,'Original Data'!M798="No",'Original Data'!M798=FALSE),"No",OR('Original Data'!M798=1,'Original Data'!M798="Yes",'Original Data'!M798=TRUE),"Yes")</f>
        <v>Yes</v>
      </c>
    </row>
    <row r="799" spans="1:13" x14ac:dyDescent="0.2">
      <c r="A799">
        <v>798</v>
      </c>
      <c r="B799" t="s">
        <v>64</v>
      </c>
      <c r="C799" s="5">
        <v>45265</v>
      </c>
      <c r="D799" t="s">
        <v>65</v>
      </c>
      <c r="E799" t="s">
        <v>33</v>
      </c>
      <c r="F799" t="s">
        <v>21</v>
      </c>
      <c r="G799" t="s">
        <v>22</v>
      </c>
      <c r="H799">
        <v>4</v>
      </c>
      <c r="I799" s="7">
        <v>0.25</v>
      </c>
      <c r="J799">
        <v>224.85</v>
      </c>
      <c r="K799" t="str">
        <f>PROPER('Original Data'!K799)</f>
        <v>Apple Pay</v>
      </c>
      <c r="L799" t="s">
        <v>45</v>
      </c>
      <c r="M799" t="str" cm="1">
        <f t="array" ref="M799">_xlfn.IFS(OR('Original Data'!M799=0,'Original Data'!M799="No",'Original Data'!M799=FALSE),"No",OR('Original Data'!M799=1,'Original Data'!M799="Yes",'Original Data'!M799=TRUE),"Yes")</f>
        <v>No</v>
      </c>
    </row>
    <row r="800" spans="1:13" x14ac:dyDescent="0.2">
      <c r="A800">
        <v>799</v>
      </c>
      <c r="B800" t="s">
        <v>13</v>
      </c>
      <c r="C800" s="5">
        <v>45157</v>
      </c>
      <c r="D800" t="s">
        <v>14</v>
      </c>
      <c r="E800" t="s">
        <v>15</v>
      </c>
      <c r="F800" t="s">
        <v>53</v>
      </c>
      <c r="G800" t="s">
        <v>54</v>
      </c>
      <c r="H800">
        <v>5</v>
      </c>
      <c r="I800" s="7">
        <v>0.2</v>
      </c>
      <c r="J800">
        <v>79.959999999999994</v>
      </c>
      <c r="K800" t="str">
        <f>PROPER('Original Data'!K800)</f>
        <v>Credit Card</v>
      </c>
      <c r="L800" t="s">
        <v>23</v>
      </c>
      <c r="M800" t="str" cm="1">
        <f t="array" ref="M800">_xlfn.IFS(OR('Original Data'!M800=0,'Original Data'!M800="No",'Original Data'!M800=FALSE),"No",OR('Original Data'!M800=1,'Original Data'!M800="Yes",'Original Data'!M800=TRUE),"Yes")</f>
        <v>No</v>
      </c>
    </row>
    <row r="801" spans="1:13" x14ac:dyDescent="0.2">
      <c r="A801">
        <v>800</v>
      </c>
      <c r="B801" t="s">
        <v>81</v>
      </c>
      <c r="C801" s="5">
        <v>45242</v>
      </c>
      <c r="D801" t="s">
        <v>82</v>
      </c>
      <c r="E801" t="s">
        <v>15</v>
      </c>
      <c r="F801" t="s">
        <v>40</v>
      </c>
      <c r="G801" t="s">
        <v>17</v>
      </c>
      <c r="H801">
        <v>2</v>
      </c>
      <c r="J801">
        <v>159.9</v>
      </c>
      <c r="K801" t="str">
        <f>PROPER('Original Data'!K801)</f>
        <v>Debit Card</v>
      </c>
      <c r="L801" t="s">
        <v>45</v>
      </c>
      <c r="M801" t="str" cm="1">
        <f t="array" ref="M801">_xlfn.IFS(OR('Original Data'!M801=0,'Original Data'!M801="No",'Original Data'!M801=FALSE),"No",OR('Original Data'!M801=1,'Original Data'!M801="Yes",'Original Data'!M801=TRUE),"Yes")</f>
        <v>Yes</v>
      </c>
    </row>
    <row r="802" spans="1:13" x14ac:dyDescent="0.2">
      <c r="A802">
        <v>801</v>
      </c>
      <c r="B802" t="s">
        <v>37</v>
      </c>
      <c r="C802" s="5">
        <v>45204</v>
      </c>
      <c r="D802" t="s">
        <v>38</v>
      </c>
      <c r="E802" t="s">
        <v>39</v>
      </c>
      <c r="F802" t="s">
        <v>34</v>
      </c>
      <c r="G802" t="s">
        <v>35</v>
      </c>
      <c r="H802">
        <v>2</v>
      </c>
      <c r="I802" s="7">
        <v>0.1</v>
      </c>
      <c r="J802">
        <v>116.91</v>
      </c>
      <c r="K802" t="str">
        <f>PROPER('Original Data'!K802)</f>
        <v>Gift Card</v>
      </c>
      <c r="L802" t="s">
        <v>45</v>
      </c>
      <c r="M802" t="str" cm="1">
        <f t="array" ref="M802">_xlfn.IFS(OR('Original Data'!M802=0,'Original Data'!M802="No",'Original Data'!M802=FALSE),"No",OR('Original Data'!M802=1,'Original Data'!M802="Yes",'Original Data'!M802=TRUE),"Yes")</f>
        <v>Yes</v>
      </c>
    </row>
    <row r="803" spans="1:13" x14ac:dyDescent="0.2">
      <c r="A803">
        <v>802</v>
      </c>
      <c r="B803" t="s">
        <v>37</v>
      </c>
      <c r="C803" s="5">
        <v>45335</v>
      </c>
      <c r="D803" t="s">
        <v>38</v>
      </c>
      <c r="E803" t="s">
        <v>39</v>
      </c>
      <c r="F803" t="s">
        <v>44</v>
      </c>
      <c r="H803">
        <v>4</v>
      </c>
      <c r="I803" s="7">
        <v>0</v>
      </c>
      <c r="J803">
        <v>259.8</v>
      </c>
      <c r="K803" t="str">
        <f>PROPER('Original Data'!K803)</f>
        <v>Gift Card</v>
      </c>
      <c r="L803" t="s">
        <v>41</v>
      </c>
      <c r="M803" t="str" cm="1">
        <f t="array" ref="M803">_xlfn.IFS(OR('Original Data'!M803=0,'Original Data'!M803="No",'Original Data'!M803=FALSE),"No",OR('Original Data'!M803=1,'Original Data'!M803="Yes",'Original Data'!M803=TRUE),"Yes")</f>
        <v>Yes</v>
      </c>
    </row>
    <row r="804" spans="1:13" x14ac:dyDescent="0.2">
      <c r="A804">
        <v>803</v>
      </c>
      <c r="B804" t="s">
        <v>46</v>
      </c>
      <c r="C804" s="5">
        <v>45122</v>
      </c>
      <c r="D804" t="s">
        <v>47</v>
      </c>
      <c r="E804" t="s">
        <v>48</v>
      </c>
      <c r="F804" t="s">
        <v>34</v>
      </c>
      <c r="G804" t="s">
        <v>35</v>
      </c>
      <c r="H804">
        <v>4</v>
      </c>
      <c r="I804" s="7">
        <v>0.15</v>
      </c>
      <c r="J804">
        <v>169.83</v>
      </c>
      <c r="K804" t="str">
        <f>PROPER('Original Data'!K804)</f>
        <v>Gift Card</v>
      </c>
      <c r="M804" t="str" cm="1">
        <f t="array" ref="M804">_xlfn.IFS(OR('Original Data'!M804=0,'Original Data'!M804="No",'Original Data'!M804=FALSE),"No",OR('Original Data'!M804=1,'Original Data'!M804="Yes",'Original Data'!M804=TRUE),"Yes")</f>
        <v>No</v>
      </c>
    </row>
    <row r="805" spans="1:13" x14ac:dyDescent="0.2">
      <c r="A805">
        <v>804</v>
      </c>
      <c r="B805" t="s">
        <v>46</v>
      </c>
      <c r="C805" s="5">
        <v>45371</v>
      </c>
      <c r="D805" t="s">
        <v>47</v>
      </c>
      <c r="E805" t="s">
        <v>48</v>
      </c>
      <c r="F805" t="s">
        <v>21</v>
      </c>
      <c r="G805" t="s">
        <v>22</v>
      </c>
      <c r="H805">
        <v>3</v>
      </c>
      <c r="I805" s="7">
        <v>0.15</v>
      </c>
      <c r="J805">
        <v>127.37</v>
      </c>
      <c r="K805" t="str">
        <f>PROPER('Original Data'!K805)</f>
        <v>Credit Card</v>
      </c>
      <c r="L805" t="s">
        <v>30</v>
      </c>
      <c r="M805" t="str" cm="1">
        <f t="array" ref="M805">_xlfn.IFS(OR('Original Data'!M805=0,'Original Data'!M805="No",'Original Data'!M805=FALSE),"No",OR('Original Data'!M805=1,'Original Data'!M805="Yes",'Original Data'!M805=TRUE),"Yes")</f>
        <v>No</v>
      </c>
    </row>
    <row r="806" spans="1:13" x14ac:dyDescent="0.2">
      <c r="A806">
        <v>805</v>
      </c>
      <c r="B806" t="s">
        <v>58</v>
      </c>
      <c r="C806" s="5">
        <v>44936</v>
      </c>
      <c r="D806" t="s">
        <v>59</v>
      </c>
      <c r="E806" t="s">
        <v>15</v>
      </c>
      <c r="F806" t="s">
        <v>40</v>
      </c>
      <c r="G806" t="s">
        <v>17</v>
      </c>
      <c r="H806">
        <v>2</v>
      </c>
      <c r="I806" s="7">
        <v>0.05</v>
      </c>
      <c r="J806">
        <v>113.9</v>
      </c>
      <c r="K806" t="s">
        <v>90</v>
      </c>
      <c r="L806" t="s">
        <v>45</v>
      </c>
      <c r="M806" t="str" cm="1">
        <f t="array" ref="M806">_xlfn.IFS(OR('Original Data'!M806=0,'Original Data'!M806="No",'Original Data'!M806=FALSE),"No",OR('Original Data'!M806=1,'Original Data'!M806="Yes",'Original Data'!M806=TRUE),"Yes")</f>
        <v>Yes</v>
      </c>
    </row>
    <row r="807" spans="1:13" x14ac:dyDescent="0.2">
      <c r="A807">
        <v>806</v>
      </c>
      <c r="B807" t="s">
        <v>68</v>
      </c>
      <c r="C807" s="5">
        <v>45103</v>
      </c>
      <c r="D807" t="s">
        <v>69</v>
      </c>
      <c r="E807" t="s">
        <v>33</v>
      </c>
      <c r="F807" t="s">
        <v>53</v>
      </c>
      <c r="G807" t="s">
        <v>54</v>
      </c>
      <c r="H807">
        <v>5</v>
      </c>
      <c r="I807" s="7">
        <v>0.2</v>
      </c>
      <c r="J807">
        <v>476</v>
      </c>
      <c r="K807" t="str">
        <f>PROPER('Original Data'!K807)</f>
        <v>Gift Card</v>
      </c>
      <c r="L807" t="s">
        <v>45</v>
      </c>
      <c r="M807" t="str" cm="1">
        <f t="array" ref="M807">_xlfn.IFS(OR('Original Data'!M807=0,'Original Data'!M807="No",'Original Data'!M807=FALSE),"No",OR('Original Data'!M807=1,'Original Data'!M807="Yes",'Original Data'!M807=TRUE),"Yes")</f>
        <v>No</v>
      </c>
    </row>
    <row r="808" spans="1:13" x14ac:dyDescent="0.2">
      <c r="A808">
        <v>807</v>
      </c>
      <c r="B808" t="s">
        <v>37</v>
      </c>
      <c r="C808" s="5">
        <v>45563</v>
      </c>
      <c r="D808" t="s">
        <v>38</v>
      </c>
      <c r="E808" t="s">
        <v>39</v>
      </c>
      <c r="G808" t="s">
        <v>25</v>
      </c>
      <c r="H808">
        <v>3</v>
      </c>
      <c r="I808" s="7">
        <v>0</v>
      </c>
      <c r="J808">
        <v>194.85</v>
      </c>
      <c r="K808" t="str">
        <f>PROPER('Original Data'!K808)</f>
        <v>Cash</v>
      </c>
      <c r="L808" t="s">
        <v>49</v>
      </c>
      <c r="M808" t="str" cm="1">
        <f t="array" ref="M808">_xlfn.IFS(OR('Original Data'!M808=0,'Original Data'!M808="No",'Original Data'!M808=FALSE),"No",OR('Original Data'!M808=1,'Original Data'!M808="Yes",'Original Data'!M808=TRUE),"Yes")</f>
        <v>Yes</v>
      </c>
    </row>
    <row r="809" spans="1:13" x14ac:dyDescent="0.2">
      <c r="A809">
        <v>808</v>
      </c>
      <c r="B809" t="s">
        <v>71</v>
      </c>
      <c r="C809" s="5">
        <v>44942</v>
      </c>
      <c r="D809" t="s">
        <v>72</v>
      </c>
      <c r="E809" t="s">
        <v>33</v>
      </c>
      <c r="F809" t="s">
        <v>21</v>
      </c>
      <c r="G809" t="s">
        <v>22</v>
      </c>
      <c r="H809">
        <v>5</v>
      </c>
      <c r="I809" s="7">
        <v>0</v>
      </c>
      <c r="J809">
        <v>299.75</v>
      </c>
      <c r="K809" t="str">
        <f>PROPER('Original Data'!K809)</f>
        <v>Credit Card</v>
      </c>
      <c r="L809" t="s">
        <v>45</v>
      </c>
      <c r="M809" t="str" cm="1">
        <f t="array" ref="M809">_xlfn.IFS(OR('Original Data'!M809=0,'Original Data'!M809="No",'Original Data'!M809=FALSE),"No",OR('Original Data'!M809=1,'Original Data'!M809="Yes",'Original Data'!M809=TRUE),"Yes")</f>
        <v>Yes</v>
      </c>
    </row>
    <row r="810" spans="1:13" x14ac:dyDescent="0.2">
      <c r="A810">
        <v>809</v>
      </c>
      <c r="B810" t="s">
        <v>61</v>
      </c>
      <c r="C810" s="5">
        <v>45407</v>
      </c>
      <c r="D810" t="s">
        <v>62</v>
      </c>
      <c r="E810" t="s">
        <v>33</v>
      </c>
      <c r="F810" t="s">
        <v>44</v>
      </c>
      <c r="H810">
        <v>5</v>
      </c>
      <c r="I810" s="7">
        <v>0</v>
      </c>
      <c r="J810">
        <v>174.95</v>
      </c>
      <c r="K810" t="str">
        <f>PROPER('Original Data'!K810)</f>
        <v>Gift Card</v>
      </c>
      <c r="L810" t="s">
        <v>30</v>
      </c>
      <c r="M810" t="str" cm="1">
        <f t="array" ref="M810">_xlfn.IFS(OR('Original Data'!M810=0,'Original Data'!M810="No",'Original Data'!M810=FALSE),"No",OR('Original Data'!M810=1,'Original Data'!M810="Yes",'Original Data'!M810=TRUE),"Yes")</f>
        <v>No</v>
      </c>
    </row>
    <row r="811" spans="1:13" x14ac:dyDescent="0.2">
      <c r="A811">
        <v>810</v>
      </c>
      <c r="B811" t="s">
        <v>61</v>
      </c>
      <c r="C811" s="5">
        <v>45602</v>
      </c>
      <c r="D811" t="s">
        <v>62</v>
      </c>
      <c r="E811" t="s">
        <v>33</v>
      </c>
      <c r="F811" t="s">
        <v>34</v>
      </c>
      <c r="G811" t="s">
        <v>35</v>
      </c>
      <c r="H811">
        <v>2</v>
      </c>
      <c r="I811" s="7">
        <v>0</v>
      </c>
      <c r="J811">
        <v>69.98</v>
      </c>
      <c r="K811" t="str">
        <f>PROPER('Original Data'!K811)</f>
        <v>Debit Card</v>
      </c>
      <c r="L811" t="s">
        <v>45</v>
      </c>
      <c r="M811" t="str" cm="1">
        <f t="array" ref="M811">_xlfn.IFS(OR('Original Data'!M811=0,'Original Data'!M811="No",'Original Data'!M811=FALSE),"No",OR('Original Data'!M811=1,'Original Data'!M811="Yes",'Original Data'!M811=TRUE),"Yes")</f>
        <v>No</v>
      </c>
    </row>
    <row r="812" spans="1:13" x14ac:dyDescent="0.2">
      <c r="A812">
        <v>811</v>
      </c>
      <c r="B812" t="s">
        <v>81</v>
      </c>
      <c r="C812" s="5">
        <v>45359</v>
      </c>
      <c r="D812" t="s">
        <v>82</v>
      </c>
      <c r="E812" t="s">
        <v>15</v>
      </c>
      <c r="F812" t="s">
        <v>44</v>
      </c>
      <c r="H812">
        <v>5</v>
      </c>
      <c r="I812" s="7">
        <v>0</v>
      </c>
      <c r="J812">
        <v>399.75</v>
      </c>
      <c r="K812" t="str">
        <f>PROPER('Original Data'!K812)</f>
        <v>Cash</v>
      </c>
      <c r="L812" t="s">
        <v>45</v>
      </c>
      <c r="M812" t="str" cm="1">
        <f t="array" ref="M812">_xlfn.IFS(OR('Original Data'!M812=0,'Original Data'!M812="No",'Original Data'!M812=FALSE),"No",OR('Original Data'!M812=1,'Original Data'!M812="Yes",'Original Data'!M812=TRUE),"Yes")</f>
        <v>Yes</v>
      </c>
    </row>
    <row r="813" spans="1:13" x14ac:dyDescent="0.2">
      <c r="A813">
        <v>812</v>
      </c>
      <c r="B813" t="s">
        <v>31</v>
      </c>
      <c r="C813" s="5">
        <v>45419</v>
      </c>
      <c r="D813" t="s">
        <v>32</v>
      </c>
      <c r="E813" t="s">
        <v>33</v>
      </c>
      <c r="F813" t="s">
        <v>34</v>
      </c>
      <c r="G813" t="s">
        <v>35</v>
      </c>
      <c r="H813">
        <v>4</v>
      </c>
      <c r="I813" s="7">
        <v>0.15</v>
      </c>
      <c r="J813">
        <v>271.83</v>
      </c>
      <c r="K813" t="s">
        <v>90</v>
      </c>
      <c r="L813" t="s">
        <v>23</v>
      </c>
      <c r="M813" t="str" cm="1">
        <f t="array" ref="M813">_xlfn.IFS(OR('Original Data'!M813=0,'Original Data'!M813="No",'Original Data'!M813=FALSE),"No",OR('Original Data'!M813=1,'Original Data'!M813="Yes",'Original Data'!M813=TRUE),"Yes")</f>
        <v>No</v>
      </c>
    </row>
    <row r="814" spans="1:13" x14ac:dyDescent="0.2">
      <c r="A814">
        <v>813</v>
      </c>
      <c r="B814" t="s">
        <v>46</v>
      </c>
      <c r="C814" s="5">
        <v>45188</v>
      </c>
      <c r="D814" t="s">
        <v>47</v>
      </c>
      <c r="E814" t="s">
        <v>48</v>
      </c>
      <c r="F814" t="s">
        <v>44</v>
      </c>
      <c r="H814">
        <v>3</v>
      </c>
      <c r="I814" s="7">
        <v>0.15</v>
      </c>
      <c r="J814">
        <v>127.37</v>
      </c>
      <c r="K814" t="str">
        <f>PROPER('Original Data'!K814)</f>
        <v>Debit Card</v>
      </c>
      <c r="L814" t="s">
        <v>49</v>
      </c>
      <c r="M814" t="str" cm="1">
        <f t="array" ref="M814">_xlfn.IFS(OR('Original Data'!M814=0,'Original Data'!M814="No",'Original Data'!M814=FALSE),"No",OR('Original Data'!M814=1,'Original Data'!M814="Yes",'Original Data'!M814=TRUE),"Yes")</f>
        <v>No</v>
      </c>
    </row>
    <row r="815" spans="1:13" x14ac:dyDescent="0.2">
      <c r="A815">
        <v>814</v>
      </c>
      <c r="B815" t="s">
        <v>85</v>
      </c>
      <c r="C815" s="5">
        <v>45395</v>
      </c>
      <c r="D815" t="s">
        <v>86</v>
      </c>
      <c r="E815" t="s">
        <v>76</v>
      </c>
      <c r="F815" t="s">
        <v>40</v>
      </c>
      <c r="G815" t="s">
        <v>17</v>
      </c>
      <c r="H815">
        <v>1</v>
      </c>
      <c r="I815" s="7">
        <v>0</v>
      </c>
      <c r="J815">
        <v>89.95</v>
      </c>
      <c r="K815" t="str">
        <f>PROPER('Original Data'!K815)</f>
        <v>Debit Card</v>
      </c>
      <c r="L815" t="s">
        <v>55</v>
      </c>
      <c r="M815" t="str" cm="1">
        <f t="array" ref="M815">_xlfn.IFS(OR('Original Data'!M815=0,'Original Data'!M815="No",'Original Data'!M815=FALSE),"No",OR('Original Data'!M815=1,'Original Data'!M815="Yes",'Original Data'!M815=TRUE),"Yes")</f>
        <v>Yes</v>
      </c>
    </row>
    <row r="816" spans="1:13" x14ac:dyDescent="0.2">
      <c r="A816">
        <v>815</v>
      </c>
      <c r="B816" t="s">
        <v>74</v>
      </c>
      <c r="C816" s="5">
        <v>45154</v>
      </c>
      <c r="D816" t="s">
        <v>75</v>
      </c>
      <c r="E816" t="s">
        <v>76</v>
      </c>
      <c r="F816" t="s">
        <v>66</v>
      </c>
      <c r="G816" t="s">
        <v>67</v>
      </c>
      <c r="H816">
        <v>5</v>
      </c>
      <c r="I816" s="7">
        <v>0.05</v>
      </c>
      <c r="J816">
        <v>213.51</v>
      </c>
      <c r="K816" t="str">
        <f>PROPER('Original Data'!K816)</f>
        <v>Apple Pay</v>
      </c>
      <c r="M816" t="str" cm="1">
        <f t="array" ref="M816">_xlfn.IFS(OR('Original Data'!M816=0,'Original Data'!M816="No",'Original Data'!M816=FALSE),"No",OR('Original Data'!M816=1,'Original Data'!M816="Yes",'Original Data'!M816=TRUE),"Yes")</f>
        <v>No</v>
      </c>
    </row>
    <row r="817" spans="1:13" x14ac:dyDescent="0.2">
      <c r="A817">
        <v>816</v>
      </c>
      <c r="B817" t="s">
        <v>78</v>
      </c>
      <c r="C817" s="5">
        <v>45623</v>
      </c>
      <c r="D817" t="s">
        <v>79</v>
      </c>
      <c r="E817" t="s">
        <v>48</v>
      </c>
      <c r="F817" t="s">
        <v>34</v>
      </c>
      <c r="G817" t="s">
        <v>35</v>
      </c>
      <c r="H817">
        <v>2</v>
      </c>
      <c r="I817" s="7">
        <v>0.15</v>
      </c>
      <c r="J817">
        <v>67.92</v>
      </c>
      <c r="K817" t="str">
        <f>PROPER('Original Data'!K817)</f>
        <v>Credit Card</v>
      </c>
      <c r="L817" t="s">
        <v>45</v>
      </c>
      <c r="M817" t="str" cm="1">
        <f t="array" ref="M817">_xlfn.IFS(OR('Original Data'!M817=0,'Original Data'!M817="No",'Original Data'!M817=FALSE),"No",OR('Original Data'!M817=1,'Original Data'!M817="Yes",'Original Data'!M817=TRUE),"Yes")</f>
        <v>Yes</v>
      </c>
    </row>
    <row r="818" spans="1:13" x14ac:dyDescent="0.2">
      <c r="A818">
        <v>817</v>
      </c>
      <c r="B818" t="s">
        <v>64</v>
      </c>
      <c r="C818" s="5">
        <v>45461</v>
      </c>
      <c r="D818" t="s">
        <v>65</v>
      </c>
      <c r="E818" t="s">
        <v>33</v>
      </c>
      <c r="F818" t="s">
        <v>34</v>
      </c>
      <c r="G818" t="s">
        <v>35</v>
      </c>
      <c r="H818">
        <v>1</v>
      </c>
      <c r="I818" s="7">
        <v>0.2</v>
      </c>
      <c r="J818">
        <v>59.96</v>
      </c>
      <c r="K818" t="str">
        <f>PROPER('Original Data'!K818)</f>
        <v>Gift Card</v>
      </c>
      <c r="L818" t="s">
        <v>30</v>
      </c>
      <c r="M818" t="str" cm="1">
        <f t="array" ref="M818">_xlfn.IFS(OR('Original Data'!M818=0,'Original Data'!M818="No",'Original Data'!M818=FALSE),"No",OR('Original Data'!M818=1,'Original Data'!M818="Yes",'Original Data'!M818=TRUE),"Yes")</f>
        <v>No</v>
      </c>
    </row>
    <row r="819" spans="1:13" x14ac:dyDescent="0.2">
      <c r="A819">
        <v>818</v>
      </c>
      <c r="B819" t="s">
        <v>58</v>
      </c>
      <c r="C819" s="5">
        <v>45091</v>
      </c>
      <c r="D819" t="s">
        <v>59</v>
      </c>
      <c r="E819" t="s">
        <v>15</v>
      </c>
      <c r="F819" t="s">
        <v>16</v>
      </c>
      <c r="G819" t="s">
        <v>17</v>
      </c>
      <c r="H819">
        <v>4</v>
      </c>
      <c r="I819" s="7">
        <v>0</v>
      </c>
      <c r="J819">
        <v>239.8</v>
      </c>
      <c r="K819" t="str">
        <f>PROPER('Original Data'!K819)</f>
        <v>Gift Card</v>
      </c>
      <c r="L819" t="s">
        <v>45</v>
      </c>
      <c r="M819" t="str" cm="1">
        <f t="array" ref="M819">_xlfn.IFS(OR('Original Data'!M819=0,'Original Data'!M819="No",'Original Data'!M819=FALSE),"No",OR('Original Data'!M819=1,'Original Data'!M819="Yes",'Original Data'!M819=TRUE),"Yes")</f>
        <v>Yes</v>
      </c>
    </row>
    <row r="820" spans="1:13" x14ac:dyDescent="0.2">
      <c r="A820">
        <v>819</v>
      </c>
      <c r="B820" t="s">
        <v>74</v>
      </c>
      <c r="C820" s="5">
        <v>45072</v>
      </c>
      <c r="D820" t="s">
        <v>75</v>
      </c>
      <c r="E820" t="s">
        <v>76</v>
      </c>
      <c r="F820" t="s">
        <v>66</v>
      </c>
      <c r="G820" t="s">
        <v>67</v>
      </c>
      <c r="H820">
        <v>1</v>
      </c>
      <c r="I820" s="7">
        <v>0</v>
      </c>
      <c r="J820">
        <v>44.95</v>
      </c>
      <c r="K820" t="str">
        <f>PROPER('Original Data'!K820)</f>
        <v>Gift Card</v>
      </c>
      <c r="L820" t="s">
        <v>63</v>
      </c>
      <c r="M820" t="str" cm="1">
        <f t="array" ref="M820">_xlfn.IFS(OR('Original Data'!M820=0,'Original Data'!M820="No",'Original Data'!M820=FALSE),"No",OR('Original Data'!M820=1,'Original Data'!M820="Yes",'Original Data'!M820=TRUE),"Yes")</f>
        <v>No</v>
      </c>
    </row>
    <row r="821" spans="1:13" x14ac:dyDescent="0.2">
      <c r="A821">
        <v>820</v>
      </c>
      <c r="B821" t="s">
        <v>50</v>
      </c>
      <c r="C821" s="5">
        <v>45276</v>
      </c>
      <c r="D821" t="s">
        <v>51</v>
      </c>
      <c r="E821" t="s">
        <v>15</v>
      </c>
      <c r="F821" t="s">
        <v>44</v>
      </c>
      <c r="H821">
        <v>1</v>
      </c>
      <c r="I821" s="7">
        <v>0.25</v>
      </c>
      <c r="J821">
        <v>52.46</v>
      </c>
      <c r="K821" t="str">
        <f>PROPER('Original Data'!K821)</f>
        <v>Credit Card</v>
      </c>
      <c r="L821" t="s">
        <v>45</v>
      </c>
      <c r="M821" t="str" cm="1">
        <f t="array" ref="M821">_xlfn.IFS(OR('Original Data'!M821=0,'Original Data'!M821="No",'Original Data'!M821=FALSE),"No",OR('Original Data'!M821=1,'Original Data'!M821="Yes",'Original Data'!M821=TRUE),"Yes")</f>
        <v>No</v>
      </c>
    </row>
    <row r="822" spans="1:13" x14ac:dyDescent="0.2">
      <c r="A822">
        <v>821</v>
      </c>
      <c r="B822" t="s">
        <v>50</v>
      </c>
      <c r="C822" s="5">
        <v>45544</v>
      </c>
      <c r="D822" t="s">
        <v>51</v>
      </c>
      <c r="E822" t="s">
        <v>15</v>
      </c>
      <c r="F822" t="s">
        <v>44</v>
      </c>
      <c r="H822">
        <v>2</v>
      </c>
      <c r="I822" s="7">
        <v>0</v>
      </c>
      <c r="J822">
        <v>139.9</v>
      </c>
      <c r="K822" t="str">
        <f>PROPER('Original Data'!K822)</f>
        <v>Apple Pay</v>
      </c>
      <c r="M822" t="str" cm="1">
        <f t="array" ref="M822">_xlfn.IFS(OR('Original Data'!M822=0,'Original Data'!M822="No",'Original Data'!M822=FALSE),"No",OR('Original Data'!M822=1,'Original Data'!M822="Yes",'Original Data'!M822=TRUE),"Yes")</f>
        <v>No</v>
      </c>
    </row>
    <row r="823" spans="1:13" x14ac:dyDescent="0.2">
      <c r="A823">
        <v>822</v>
      </c>
      <c r="B823" t="s">
        <v>64</v>
      </c>
      <c r="C823" s="5">
        <v>45184</v>
      </c>
      <c r="D823" t="s">
        <v>65</v>
      </c>
      <c r="E823" t="s">
        <v>33</v>
      </c>
      <c r="F823" t="s">
        <v>53</v>
      </c>
      <c r="G823" t="s">
        <v>54</v>
      </c>
      <c r="H823">
        <v>3</v>
      </c>
      <c r="I823" s="7">
        <v>0.15</v>
      </c>
      <c r="J823">
        <v>191.12</v>
      </c>
      <c r="K823" t="str">
        <f>PROPER('Original Data'!K823)</f>
        <v>Apple Pay</v>
      </c>
      <c r="L823" t="s">
        <v>28</v>
      </c>
      <c r="M823" t="str" cm="1">
        <f t="array" ref="M823">_xlfn.IFS(OR('Original Data'!M823=0,'Original Data'!M823="No",'Original Data'!M823=FALSE),"No",OR('Original Data'!M823=1,'Original Data'!M823="Yes",'Original Data'!M823=TRUE),"Yes")</f>
        <v>No</v>
      </c>
    </row>
    <row r="824" spans="1:13" x14ac:dyDescent="0.2">
      <c r="A824">
        <v>823</v>
      </c>
      <c r="B824" t="s">
        <v>83</v>
      </c>
      <c r="C824" s="5">
        <v>45543</v>
      </c>
      <c r="D824" t="s">
        <v>84</v>
      </c>
      <c r="E824" t="s">
        <v>48</v>
      </c>
      <c r="F824" t="s">
        <v>16</v>
      </c>
      <c r="G824" t="s">
        <v>17</v>
      </c>
      <c r="H824">
        <v>5</v>
      </c>
      <c r="I824" s="7">
        <v>0.2</v>
      </c>
      <c r="J824">
        <v>199.8</v>
      </c>
      <c r="K824" t="str">
        <f>PROPER('Original Data'!K824)</f>
        <v>Credit Card</v>
      </c>
      <c r="L824" t="s">
        <v>28</v>
      </c>
      <c r="M824" t="str" cm="1">
        <f t="array" ref="M824">_xlfn.IFS(OR('Original Data'!M824=0,'Original Data'!M824="No",'Original Data'!M824=FALSE),"No",OR('Original Data'!M824=1,'Original Data'!M824="Yes",'Original Data'!M824=TRUE),"Yes")</f>
        <v>No</v>
      </c>
    </row>
    <row r="825" spans="1:13" x14ac:dyDescent="0.2">
      <c r="A825">
        <v>824</v>
      </c>
      <c r="B825" t="s">
        <v>74</v>
      </c>
      <c r="C825" s="5">
        <v>45514</v>
      </c>
      <c r="D825" t="s">
        <v>75</v>
      </c>
      <c r="E825" t="s">
        <v>76</v>
      </c>
      <c r="G825" t="s">
        <v>25</v>
      </c>
      <c r="H825">
        <v>1</v>
      </c>
      <c r="I825" s="7">
        <v>0.15</v>
      </c>
      <c r="J825">
        <v>38.21</v>
      </c>
      <c r="K825" t="str">
        <f>PROPER('Original Data'!K825)</f>
        <v>Gift Card</v>
      </c>
      <c r="L825" t="s">
        <v>41</v>
      </c>
      <c r="M825" t="str" cm="1">
        <f t="array" ref="M825">_xlfn.IFS(OR('Original Data'!M825=0,'Original Data'!M825="No",'Original Data'!M825=FALSE),"No",OR('Original Data'!M825=1,'Original Data'!M825="Yes",'Original Data'!M825=TRUE),"Yes")</f>
        <v>No</v>
      </c>
    </row>
    <row r="826" spans="1:13" x14ac:dyDescent="0.2">
      <c r="A826">
        <v>825</v>
      </c>
      <c r="B826" t="s">
        <v>46</v>
      </c>
      <c r="C826" s="5">
        <v>45394</v>
      </c>
      <c r="D826" t="s">
        <v>47</v>
      </c>
      <c r="E826" t="s">
        <v>48</v>
      </c>
      <c r="F826" t="s">
        <v>40</v>
      </c>
      <c r="G826" t="s">
        <v>17</v>
      </c>
      <c r="H826">
        <v>3</v>
      </c>
      <c r="I826" s="7">
        <v>0.2</v>
      </c>
      <c r="J826">
        <v>119.88</v>
      </c>
      <c r="K826" t="str">
        <f>PROPER('Original Data'!K826)</f>
        <v>Apple Pay</v>
      </c>
      <c r="L826" t="s">
        <v>23</v>
      </c>
      <c r="M826" t="str" cm="1">
        <f t="array" ref="M826">_xlfn.IFS(OR('Original Data'!M826=0,'Original Data'!M826="No",'Original Data'!M826=FALSE),"No",OR('Original Data'!M826=1,'Original Data'!M826="Yes",'Original Data'!M826=TRUE),"Yes")</f>
        <v>No</v>
      </c>
    </row>
    <row r="827" spans="1:13" x14ac:dyDescent="0.2">
      <c r="A827">
        <v>826</v>
      </c>
      <c r="B827" t="s">
        <v>31</v>
      </c>
      <c r="C827" s="5">
        <v>45103</v>
      </c>
      <c r="D827" t="s">
        <v>32</v>
      </c>
      <c r="E827" t="s">
        <v>33</v>
      </c>
      <c r="F827" t="s">
        <v>53</v>
      </c>
      <c r="G827" t="s">
        <v>54</v>
      </c>
      <c r="H827">
        <v>2</v>
      </c>
      <c r="I827" s="7">
        <v>0.15</v>
      </c>
      <c r="J827">
        <v>135.91999999999999</v>
      </c>
      <c r="K827" t="str">
        <f>PROPER('Original Data'!K827)</f>
        <v>Cash</v>
      </c>
      <c r="L827" t="s">
        <v>28</v>
      </c>
      <c r="M827" t="str" cm="1">
        <f t="array" ref="M827">_xlfn.IFS(OR('Original Data'!M827=0,'Original Data'!M827="No",'Original Data'!M827=FALSE),"No",OR('Original Data'!M827=1,'Original Data'!M827="Yes",'Original Data'!M827=TRUE),"Yes")</f>
        <v>No</v>
      </c>
    </row>
    <row r="828" spans="1:13" x14ac:dyDescent="0.2">
      <c r="A828">
        <v>827</v>
      </c>
      <c r="B828" t="s">
        <v>74</v>
      </c>
      <c r="C828" s="5">
        <v>45134</v>
      </c>
      <c r="D828" t="s">
        <v>75</v>
      </c>
      <c r="E828" t="s">
        <v>76</v>
      </c>
      <c r="F828" t="s">
        <v>16</v>
      </c>
      <c r="G828" t="s">
        <v>17</v>
      </c>
      <c r="H828">
        <v>3</v>
      </c>
      <c r="I828" s="7">
        <v>0.25</v>
      </c>
      <c r="J828">
        <v>101.14</v>
      </c>
      <c r="K828" t="str">
        <f>PROPER('Original Data'!K828)</f>
        <v>Gift Card</v>
      </c>
      <c r="L828" t="s">
        <v>45</v>
      </c>
      <c r="M828" t="str" cm="1">
        <f t="array" ref="M828">_xlfn.IFS(OR('Original Data'!M828=0,'Original Data'!M828="No",'Original Data'!M828=FALSE),"No",OR('Original Data'!M828=1,'Original Data'!M828="Yes",'Original Data'!M828=TRUE),"Yes")</f>
        <v>No</v>
      </c>
    </row>
    <row r="829" spans="1:13" x14ac:dyDescent="0.2">
      <c r="A829">
        <v>828</v>
      </c>
      <c r="B829" t="s">
        <v>78</v>
      </c>
      <c r="C829" s="5">
        <v>45560</v>
      </c>
      <c r="D829" t="s">
        <v>79</v>
      </c>
      <c r="E829" t="s">
        <v>48</v>
      </c>
      <c r="F829" t="s">
        <v>53</v>
      </c>
      <c r="G829" t="s">
        <v>54</v>
      </c>
      <c r="H829">
        <v>5</v>
      </c>
      <c r="I829" s="7">
        <v>0.1</v>
      </c>
      <c r="J829">
        <v>179.78</v>
      </c>
      <c r="K829" t="str">
        <f>PROPER('Original Data'!K829)</f>
        <v>Gift Card</v>
      </c>
      <c r="L829" t="s">
        <v>45</v>
      </c>
      <c r="M829" t="str" cm="1">
        <f t="array" ref="M829">_xlfn.IFS(OR('Original Data'!M829=0,'Original Data'!M829="No",'Original Data'!M829=FALSE),"No",OR('Original Data'!M829=1,'Original Data'!M829="Yes",'Original Data'!M829=TRUE),"Yes")</f>
        <v>Yes</v>
      </c>
    </row>
    <row r="830" spans="1:13" x14ac:dyDescent="0.2">
      <c r="A830">
        <v>829</v>
      </c>
      <c r="B830" t="s">
        <v>56</v>
      </c>
      <c r="C830" s="5">
        <v>45033</v>
      </c>
      <c r="D830" t="s">
        <v>57</v>
      </c>
      <c r="E830" t="s">
        <v>48</v>
      </c>
      <c r="F830" t="s">
        <v>40</v>
      </c>
      <c r="G830" t="s">
        <v>17</v>
      </c>
      <c r="H830">
        <v>3</v>
      </c>
      <c r="I830" s="7">
        <v>0.2</v>
      </c>
      <c r="J830">
        <v>204</v>
      </c>
      <c r="K830" t="str">
        <f>PROPER('Original Data'!K830)</f>
        <v>Gift Card</v>
      </c>
      <c r="L830" t="s">
        <v>45</v>
      </c>
      <c r="M830" t="str" cm="1">
        <f t="array" ref="M830">_xlfn.IFS(OR('Original Data'!M830=0,'Original Data'!M830="No",'Original Data'!M830=FALSE),"No",OR('Original Data'!M830=1,'Original Data'!M830="Yes",'Original Data'!M830=TRUE),"Yes")</f>
        <v>Yes</v>
      </c>
    </row>
    <row r="831" spans="1:13" x14ac:dyDescent="0.2">
      <c r="A831">
        <v>830</v>
      </c>
      <c r="B831" t="s">
        <v>64</v>
      </c>
      <c r="C831" s="5">
        <v>45151</v>
      </c>
      <c r="D831" t="s">
        <v>65</v>
      </c>
      <c r="E831" t="s">
        <v>33</v>
      </c>
      <c r="F831" t="s">
        <v>66</v>
      </c>
      <c r="G831" t="s">
        <v>67</v>
      </c>
      <c r="H831">
        <v>1</v>
      </c>
      <c r="I831" s="7">
        <v>0.25</v>
      </c>
      <c r="J831">
        <v>56.21</v>
      </c>
      <c r="K831" t="str">
        <f>PROPER('Original Data'!K831)</f>
        <v>Apple Pay</v>
      </c>
      <c r="L831" t="s">
        <v>63</v>
      </c>
      <c r="M831" t="str" cm="1">
        <f t="array" ref="M831">_xlfn.IFS(OR('Original Data'!M831=0,'Original Data'!M831="No",'Original Data'!M831=FALSE),"No",OR('Original Data'!M831=1,'Original Data'!M831="Yes",'Original Data'!M831=TRUE),"Yes")</f>
        <v>No</v>
      </c>
    </row>
    <row r="832" spans="1:13" x14ac:dyDescent="0.2">
      <c r="A832">
        <v>831</v>
      </c>
      <c r="B832" t="s">
        <v>85</v>
      </c>
      <c r="C832" s="5">
        <v>45458</v>
      </c>
      <c r="D832" t="s">
        <v>86</v>
      </c>
      <c r="E832" t="s">
        <v>76</v>
      </c>
      <c r="F832" t="s">
        <v>44</v>
      </c>
      <c r="H832">
        <v>5</v>
      </c>
      <c r="I832" s="7">
        <v>0.05</v>
      </c>
      <c r="J832">
        <v>427.26</v>
      </c>
      <c r="K832" t="str">
        <f>PROPER('Original Data'!K832)</f>
        <v>Debit Card</v>
      </c>
      <c r="L832" t="s">
        <v>28</v>
      </c>
      <c r="M832" t="str" cm="1">
        <f t="array" ref="M832">_xlfn.IFS(OR('Original Data'!M832=0,'Original Data'!M832="No",'Original Data'!M832=FALSE),"No",OR('Original Data'!M832=1,'Original Data'!M832="Yes",'Original Data'!M832=TRUE),"Yes")</f>
        <v>Yes</v>
      </c>
    </row>
    <row r="833" spans="1:13" x14ac:dyDescent="0.2">
      <c r="A833">
        <v>832</v>
      </c>
      <c r="B833" t="s">
        <v>68</v>
      </c>
      <c r="C833" s="5">
        <v>45292</v>
      </c>
      <c r="D833" t="s">
        <v>69</v>
      </c>
      <c r="E833" t="s">
        <v>33</v>
      </c>
      <c r="F833" t="s">
        <v>21</v>
      </c>
      <c r="G833" t="s">
        <v>22</v>
      </c>
      <c r="H833">
        <v>3</v>
      </c>
      <c r="I833" s="7">
        <v>0.05</v>
      </c>
      <c r="J833">
        <v>339.15</v>
      </c>
      <c r="K833" t="s">
        <v>90</v>
      </c>
      <c r="L833" t="s">
        <v>49</v>
      </c>
      <c r="M833" t="str" cm="1">
        <f t="array" ref="M833">_xlfn.IFS(OR('Original Data'!M833=0,'Original Data'!M833="No",'Original Data'!M833=FALSE),"No",OR('Original Data'!M833=1,'Original Data'!M833="Yes",'Original Data'!M833=TRUE),"Yes")</f>
        <v>No</v>
      </c>
    </row>
    <row r="834" spans="1:13" x14ac:dyDescent="0.2">
      <c r="A834">
        <v>833</v>
      </c>
      <c r="B834" t="s">
        <v>56</v>
      </c>
      <c r="C834" s="5">
        <v>45283</v>
      </c>
      <c r="D834" t="s">
        <v>57</v>
      </c>
      <c r="E834" t="s">
        <v>48</v>
      </c>
      <c r="F834" t="s">
        <v>44</v>
      </c>
      <c r="H834">
        <v>3</v>
      </c>
      <c r="I834" s="7">
        <v>0</v>
      </c>
      <c r="J834">
        <v>255</v>
      </c>
      <c r="K834" t="str">
        <f>PROPER('Original Data'!K834)</f>
        <v>Apple Pay</v>
      </c>
      <c r="L834" t="s">
        <v>63</v>
      </c>
      <c r="M834" t="str" cm="1">
        <f t="array" ref="M834">_xlfn.IFS(OR('Original Data'!M834=0,'Original Data'!M834="No",'Original Data'!M834=FALSE),"No",OR('Original Data'!M834=1,'Original Data'!M834="Yes",'Original Data'!M834=TRUE),"Yes")</f>
        <v>Yes</v>
      </c>
    </row>
    <row r="835" spans="1:13" x14ac:dyDescent="0.2">
      <c r="A835">
        <v>834</v>
      </c>
      <c r="B835" t="s">
        <v>42</v>
      </c>
      <c r="C835" s="5">
        <v>45592</v>
      </c>
      <c r="D835" t="s">
        <v>91</v>
      </c>
      <c r="E835" t="s">
        <v>15</v>
      </c>
      <c r="F835" t="s">
        <v>21</v>
      </c>
      <c r="G835" t="s">
        <v>22</v>
      </c>
      <c r="H835">
        <v>2</v>
      </c>
      <c r="I835" s="7">
        <v>0</v>
      </c>
      <c r="J835">
        <v>258</v>
      </c>
      <c r="K835" t="s">
        <v>90</v>
      </c>
      <c r="L835" t="s">
        <v>41</v>
      </c>
      <c r="M835" t="str" cm="1">
        <f t="array" ref="M835">_xlfn.IFS(OR('Original Data'!M835=0,'Original Data'!M835="No",'Original Data'!M835=FALSE),"No",OR('Original Data'!M835=1,'Original Data'!M835="Yes",'Original Data'!M835=TRUE),"Yes")</f>
        <v>Yes</v>
      </c>
    </row>
    <row r="836" spans="1:13" x14ac:dyDescent="0.2">
      <c r="A836">
        <v>835</v>
      </c>
      <c r="B836" t="s">
        <v>71</v>
      </c>
      <c r="C836" s="5">
        <v>45147</v>
      </c>
      <c r="D836" t="s">
        <v>72</v>
      </c>
      <c r="E836" t="s">
        <v>33</v>
      </c>
      <c r="F836" t="s">
        <v>26</v>
      </c>
      <c r="G836" t="s">
        <v>22</v>
      </c>
      <c r="H836">
        <v>4</v>
      </c>
      <c r="I836" s="7">
        <v>0.2</v>
      </c>
      <c r="J836">
        <v>191.84</v>
      </c>
      <c r="K836" t="str">
        <f>PROPER('Original Data'!K836)</f>
        <v>Gift Card</v>
      </c>
      <c r="L836" t="s">
        <v>45</v>
      </c>
      <c r="M836" t="str" cm="1">
        <f t="array" ref="M836">_xlfn.IFS(OR('Original Data'!M836=0,'Original Data'!M836="No",'Original Data'!M836=FALSE),"No",OR('Original Data'!M836=1,'Original Data'!M836="Yes",'Original Data'!M836=TRUE),"Yes")</f>
        <v>Yes</v>
      </c>
    </row>
    <row r="837" spans="1:13" x14ac:dyDescent="0.2">
      <c r="A837">
        <v>836</v>
      </c>
      <c r="B837" t="s">
        <v>13</v>
      </c>
      <c r="C837" s="5">
        <v>45049</v>
      </c>
      <c r="D837" t="s">
        <v>14</v>
      </c>
      <c r="E837" t="s">
        <v>15</v>
      </c>
      <c r="F837" t="s">
        <v>40</v>
      </c>
      <c r="G837" t="s">
        <v>17</v>
      </c>
      <c r="H837">
        <v>5</v>
      </c>
      <c r="I837" s="7">
        <v>0</v>
      </c>
      <c r="J837">
        <v>99.95</v>
      </c>
      <c r="K837" t="s">
        <v>90</v>
      </c>
      <c r="L837" t="s">
        <v>49</v>
      </c>
      <c r="M837" t="str" cm="1">
        <f t="array" ref="M837">_xlfn.IFS(OR('Original Data'!M837=0,'Original Data'!M837="No",'Original Data'!M837=FALSE),"No",OR('Original Data'!M837=1,'Original Data'!M837="Yes",'Original Data'!M837=TRUE),"Yes")</f>
        <v>No</v>
      </c>
    </row>
    <row r="838" spans="1:13" x14ac:dyDescent="0.2">
      <c r="A838">
        <v>837</v>
      </c>
      <c r="B838" t="s">
        <v>13</v>
      </c>
      <c r="C838" s="5">
        <v>45023</v>
      </c>
      <c r="D838" t="s">
        <v>14</v>
      </c>
      <c r="E838" t="s">
        <v>15</v>
      </c>
      <c r="F838" t="s">
        <v>66</v>
      </c>
      <c r="G838" t="s">
        <v>67</v>
      </c>
      <c r="H838">
        <v>4</v>
      </c>
      <c r="I838" s="7">
        <v>0</v>
      </c>
      <c r="J838">
        <v>79.959999999999994</v>
      </c>
      <c r="K838" t="str">
        <f>PROPER('Original Data'!K838)</f>
        <v>Credit Card</v>
      </c>
      <c r="L838" t="s">
        <v>49</v>
      </c>
      <c r="M838" t="str" cm="1">
        <f t="array" ref="M838">_xlfn.IFS(OR('Original Data'!M838=0,'Original Data'!M838="No",'Original Data'!M838=FALSE),"No",OR('Original Data'!M838=1,'Original Data'!M838="Yes",'Original Data'!M838=TRUE),"Yes")</f>
        <v>No</v>
      </c>
    </row>
    <row r="839" spans="1:13" x14ac:dyDescent="0.2">
      <c r="A839">
        <v>838</v>
      </c>
      <c r="B839" t="s">
        <v>31</v>
      </c>
      <c r="C839" s="5">
        <v>45115</v>
      </c>
      <c r="D839" t="s">
        <v>32</v>
      </c>
      <c r="E839" t="s">
        <v>33</v>
      </c>
      <c r="F839" t="s">
        <v>40</v>
      </c>
      <c r="G839" t="s">
        <v>17</v>
      </c>
      <c r="H839">
        <v>4</v>
      </c>
      <c r="I839" s="7">
        <v>0.1</v>
      </c>
      <c r="J839">
        <v>287.82</v>
      </c>
      <c r="K839" t="str">
        <f>PROPER('Original Data'!K839)</f>
        <v>Credit Card</v>
      </c>
      <c r="L839" t="s">
        <v>41</v>
      </c>
      <c r="M839" t="str" cm="1">
        <f t="array" ref="M839">_xlfn.IFS(OR('Original Data'!M839=0,'Original Data'!M839="No",'Original Data'!M839=FALSE),"No",OR('Original Data'!M839=1,'Original Data'!M839="Yes",'Original Data'!M839=TRUE),"Yes")</f>
        <v>No</v>
      </c>
    </row>
    <row r="840" spans="1:13" x14ac:dyDescent="0.2">
      <c r="A840">
        <v>839</v>
      </c>
      <c r="B840" t="s">
        <v>68</v>
      </c>
      <c r="C840" s="5">
        <v>44939</v>
      </c>
      <c r="D840" t="str">
        <f>VLOOKUP(B840,'Original Data'!B:D,3,FALSE)</f>
        <v xml:space="preserve">Ankle Boots  </v>
      </c>
      <c r="E840" t="str">
        <f>_xlfn.XLOOKUP('Cleaned Data'!B684,'Original Data'!B:B,'Original Data'!E:E)</f>
        <v>Banana Republic</v>
      </c>
      <c r="F840" t="s">
        <v>26</v>
      </c>
      <c r="G840" t="s">
        <v>22</v>
      </c>
      <c r="H840">
        <v>1</v>
      </c>
      <c r="I840" s="7">
        <v>0</v>
      </c>
      <c r="J840">
        <v>119</v>
      </c>
      <c r="K840" t="s">
        <v>90</v>
      </c>
      <c r="L840" t="s">
        <v>23</v>
      </c>
      <c r="M840" t="s">
        <v>92</v>
      </c>
    </row>
    <row r="841" spans="1:13" x14ac:dyDescent="0.2">
      <c r="A841">
        <v>840</v>
      </c>
      <c r="B841" t="s">
        <v>31</v>
      </c>
      <c r="C841" s="5">
        <v>45626</v>
      </c>
      <c r="D841" t="s">
        <v>32</v>
      </c>
      <c r="E841" t="s">
        <v>33</v>
      </c>
      <c r="F841" t="s">
        <v>44</v>
      </c>
      <c r="H841">
        <v>5</v>
      </c>
      <c r="I841" s="7">
        <v>0.05</v>
      </c>
      <c r="J841">
        <v>379.76</v>
      </c>
      <c r="K841" t="str">
        <f>PROPER('Original Data'!K841)</f>
        <v>Credit Card</v>
      </c>
      <c r="L841" t="s">
        <v>49</v>
      </c>
      <c r="M841" t="str" cm="1">
        <f t="array" ref="M841">_xlfn.IFS(OR('Original Data'!M841=0,'Original Data'!M841="No",'Original Data'!M841=FALSE),"No",OR('Original Data'!M841=1,'Original Data'!M841="Yes",'Original Data'!M841=TRUE),"Yes")</f>
        <v>No</v>
      </c>
    </row>
    <row r="842" spans="1:13" x14ac:dyDescent="0.2">
      <c r="A842">
        <v>841</v>
      </c>
      <c r="B842" t="s">
        <v>71</v>
      </c>
      <c r="C842" s="5">
        <v>45037</v>
      </c>
      <c r="D842" t="s">
        <v>72</v>
      </c>
      <c r="E842" t="s">
        <v>33</v>
      </c>
      <c r="F842" t="s">
        <v>26</v>
      </c>
      <c r="G842" t="s">
        <v>22</v>
      </c>
      <c r="H842">
        <v>1</v>
      </c>
      <c r="I842" s="7">
        <v>0</v>
      </c>
      <c r="J842">
        <v>59.95</v>
      </c>
      <c r="K842" t="str">
        <f>PROPER('Original Data'!K842)</f>
        <v>Cash</v>
      </c>
      <c r="L842" t="s">
        <v>30</v>
      </c>
      <c r="M842" t="str" cm="1">
        <f t="array" ref="M842">_xlfn.IFS(OR('Original Data'!M842=0,'Original Data'!M842="No",'Original Data'!M842=FALSE),"No",OR('Original Data'!M842=1,'Original Data'!M842="Yes",'Original Data'!M842=TRUE),"Yes")</f>
        <v>Yes</v>
      </c>
    </row>
    <row r="843" spans="1:13" x14ac:dyDescent="0.2">
      <c r="A843">
        <v>842</v>
      </c>
      <c r="B843" t="s">
        <v>56</v>
      </c>
      <c r="C843" s="5">
        <v>45494</v>
      </c>
      <c r="D843" t="s">
        <v>57</v>
      </c>
      <c r="E843" t="s">
        <v>48</v>
      </c>
      <c r="F843" t="s">
        <v>44</v>
      </c>
      <c r="H843">
        <v>4</v>
      </c>
      <c r="I843" s="7">
        <v>0.25</v>
      </c>
      <c r="J843">
        <v>255</v>
      </c>
      <c r="K843" t="str">
        <f>PROPER('Original Data'!K843)</f>
        <v>Apple Pay</v>
      </c>
      <c r="L843" t="s">
        <v>55</v>
      </c>
      <c r="M843" t="str" cm="1">
        <f t="array" ref="M843">_xlfn.IFS(OR('Original Data'!M843=0,'Original Data'!M843="No",'Original Data'!M843=FALSE),"No",OR('Original Data'!M843=1,'Original Data'!M843="Yes",'Original Data'!M843=TRUE),"Yes")</f>
        <v>Yes</v>
      </c>
    </row>
    <row r="844" spans="1:13" x14ac:dyDescent="0.2">
      <c r="A844">
        <v>843</v>
      </c>
      <c r="B844" t="s">
        <v>81</v>
      </c>
      <c r="C844" s="5">
        <v>45503</v>
      </c>
      <c r="D844" t="s">
        <v>82</v>
      </c>
      <c r="E844" t="s">
        <v>15</v>
      </c>
      <c r="F844" t="s">
        <v>44</v>
      </c>
      <c r="H844">
        <v>1</v>
      </c>
      <c r="I844" s="7">
        <v>0</v>
      </c>
      <c r="J844">
        <v>79.95</v>
      </c>
      <c r="K844" t="s">
        <v>90</v>
      </c>
      <c r="L844" t="s">
        <v>49</v>
      </c>
      <c r="M844" t="str" cm="1">
        <f t="array" ref="M844">_xlfn.IFS(OR('Original Data'!M844=0,'Original Data'!M844="No",'Original Data'!M844=FALSE),"No",OR('Original Data'!M844=1,'Original Data'!M844="Yes",'Original Data'!M844=TRUE),"Yes")</f>
        <v>Yes</v>
      </c>
    </row>
    <row r="845" spans="1:13" x14ac:dyDescent="0.2">
      <c r="A845">
        <v>844</v>
      </c>
      <c r="B845" t="s">
        <v>74</v>
      </c>
      <c r="C845" s="5">
        <v>44951</v>
      </c>
      <c r="D845" t="s">
        <v>75</v>
      </c>
      <c r="E845" t="s">
        <v>76</v>
      </c>
      <c r="F845" t="s">
        <v>21</v>
      </c>
      <c r="G845" t="s">
        <v>22</v>
      </c>
      <c r="H845">
        <v>4</v>
      </c>
      <c r="I845" s="7">
        <v>0.2</v>
      </c>
      <c r="J845">
        <v>143.84</v>
      </c>
      <c r="K845" t="str">
        <f>PROPER('Original Data'!K845)</f>
        <v>Gift Card</v>
      </c>
      <c r="L845" t="s">
        <v>55</v>
      </c>
      <c r="M845" t="str" cm="1">
        <f t="array" ref="M845">_xlfn.IFS(OR('Original Data'!M845=0,'Original Data'!M845="No",'Original Data'!M845=FALSE),"No",OR('Original Data'!M845=1,'Original Data'!M845="Yes",'Original Data'!M845=TRUE),"Yes")</f>
        <v>No</v>
      </c>
    </row>
    <row r="846" spans="1:13" x14ac:dyDescent="0.2">
      <c r="A846">
        <v>845</v>
      </c>
      <c r="B846" t="s">
        <v>37</v>
      </c>
      <c r="C846" s="5">
        <v>45248</v>
      </c>
      <c r="D846" t="s">
        <v>38</v>
      </c>
      <c r="E846" t="s">
        <v>39</v>
      </c>
      <c r="G846" t="s">
        <v>25</v>
      </c>
      <c r="H846">
        <v>1</v>
      </c>
      <c r="I846" s="7">
        <v>0.1</v>
      </c>
      <c r="J846">
        <v>58.46</v>
      </c>
      <c r="K846" t="str">
        <f>PROPER('Original Data'!K846)</f>
        <v>Apple Pay</v>
      </c>
      <c r="L846" t="s">
        <v>45</v>
      </c>
      <c r="M846" t="str" cm="1">
        <f t="array" ref="M846">_xlfn.IFS(OR('Original Data'!M846=0,'Original Data'!M846="No",'Original Data'!M846=FALSE),"No",OR('Original Data'!M846=1,'Original Data'!M846="Yes",'Original Data'!M846=TRUE),"Yes")</f>
        <v>Yes</v>
      </c>
    </row>
    <row r="847" spans="1:13" x14ac:dyDescent="0.2">
      <c r="A847">
        <v>846</v>
      </c>
      <c r="B847" t="s">
        <v>78</v>
      </c>
      <c r="C847" s="5">
        <v>45642</v>
      </c>
      <c r="D847" t="s">
        <v>79</v>
      </c>
      <c r="E847" t="s">
        <v>48</v>
      </c>
      <c r="F847" t="s">
        <v>21</v>
      </c>
      <c r="G847" t="s">
        <v>22</v>
      </c>
      <c r="H847">
        <v>5</v>
      </c>
      <c r="I847" s="7">
        <v>0</v>
      </c>
      <c r="J847">
        <v>199.75</v>
      </c>
      <c r="K847" t="str">
        <f>PROPER('Original Data'!K847)</f>
        <v>Apple Pay</v>
      </c>
      <c r="L847" t="s">
        <v>49</v>
      </c>
      <c r="M847" t="str" cm="1">
        <f t="array" ref="M847">_xlfn.IFS(OR('Original Data'!M847=0,'Original Data'!M847="No",'Original Data'!M847=FALSE),"No",OR('Original Data'!M847=1,'Original Data'!M847="Yes",'Original Data'!M847=TRUE),"Yes")</f>
        <v>Yes</v>
      </c>
    </row>
    <row r="848" spans="1:13" x14ac:dyDescent="0.2">
      <c r="A848">
        <v>847</v>
      </c>
      <c r="B848" t="s">
        <v>81</v>
      </c>
      <c r="C848" s="5">
        <v>45137</v>
      </c>
      <c r="D848" t="s">
        <v>82</v>
      </c>
      <c r="E848" t="s">
        <v>15</v>
      </c>
      <c r="F848" t="s">
        <v>34</v>
      </c>
      <c r="G848" t="s">
        <v>35</v>
      </c>
      <c r="H848">
        <v>5</v>
      </c>
      <c r="I848" s="7">
        <v>0</v>
      </c>
      <c r="J848">
        <v>399.75</v>
      </c>
      <c r="K848" t="str">
        <f>PROPER('Original Data'!K848)</f>
        <v>Gift Card</v>
      </c>
      <c r="L848" t="s">
        <v>23</v>
      </c>
      <c r="M848" t="str" cm="1">
        <f t="array" ref="M848">_xlfn.IFS(OR('Original Data'!M848=0,'Original Data'!M848="No",'Original Data'!M848=FALSE),"No",OR('Original Data'!M848=1,'Original Data'!M848="Yes",'Original Data'!M848=TRUE),"Yes")</f>
        <v>Yes</v>
      </c>
    </row>
    <row r="849" spans="1:13" x14ac:dyDescent="0.2">
      <c r="A849">
        <v>848</v>
      </c>
      <c r="B849" t="s">
        <v>68</v>
      </c>
      <c r="C849" s="5">
        <v>45540</v>
      </c>
      <c r="D849" t="s">
        <v>69</v>
      </c>
      <c r="E849" t="s">
        <v>33</v>
      </c>
      <c r="F849" t="s">
        <v>34</v>
      </c>
      <c r="G849" t="s">
        <v>35</v>
      </c>
      <c r="H849">
        <v>4</v>
      </c>
      <c r="I849" s="7">
        <v>0</v>
      </c>
      <c r="J849">
        <v>476</v>
      </c>
      <c r="K849" t="str">
        <f>PROPER('Original Data'!K849)</f>
        <v>Debit Card</v>
      </c>
      <c r="L849" t="s">
        <v>45</v>
      </c>
      <c r="M849" t="str" cm="1">
        <f t="array" ref="M849">_xlfn.IFS(OR('Original Data'!M849=0,'Original Data'!M849="No",'Original Data'!M849=FALSE),"No",OR('Original Data'!M849=1,'Original Data'!M849="Yes",'Original Data'!M849=TRUE),"Yes")</f>
        <v>No</v>
      </c>
    </row>
    <row r="850" spans="1:13" x14ac:dyDescent="0.2">
      <c r="A850">
        <v>849</v>
      </c>
      <c r="B850" t="s">
        <v>85</v>
      </c>
      <c r="C850" s="5">
        <v>45211</v>
      </c>
      <c r="D850" t="s">
        <v>86</v>
      </c>
      <c r="E850" t="s">
        <v>76</v>
      </c>
      <c r="F850" t="s">
        <v>53</v>
      </c>
      <c r="G850" t="s">
        <v>54</v>
      </c>
      <c r="H850">
        <v>1</v>
      </c>
      <c r="I850" s="7">
        <v>0.2</v>
      </c>
      <c r="J850">
        <v>71.959999999999994</v>
      </c>
      <c r="K850" t="str">
        <f>PROPER('Original Data'!K850)</f>
        <v>Gift Card</v>
      </c>
      <c r="L850" t="s">
        <v>28</v>
      </c>
      <c r="M850" t="str" cm="1">
        <f t="array" ref="M850">_xlfn.IFS(OR('Original Data'!M850=0,'Original Data'!M850="No",'Original Data'!M850=FALSE),"No",OR('Original Data'!M850=1,'Original Data'!M850="Yes",'Original Data'!M850=TRUE),"Yes")</f>
        <v>Yes</v>
      </c>
    </row>
    <row r="851" spans="1:13" x14ac:dyDescent="0.2">
      <c r="A851">
        <v>850</v>
      </c>
      <c r="B851" t="s">
        <v>42</v>
      </c>
      <c r="C851" s="5">
        <v>44995</v>
      </c>
      <c r="D851" t="s">
        <v>91</v>
      </c>
      <c r="E851" t="s">
        <v>15</v>
      </c>
      <c r="F851" t="s">
        <v>34</v>
      </c>
      <c r="G851" t="s">
        <v>35</v>
      </c>
      <c r="H851">
        <v>1</v>
      </c>
      <c r="I851" s="7">
        <v>0</v>
      </c>
      <c r="J851">
        <v>129</v>
      </c>
      <c r="K851" t="str">
        <f>PROPER('Original Data'!K851)</f>
        <v>Gift Card</v>
      </c>
      <c r="L851" t="s">
        <v>45</v>
      </c>
      <c r="M851" t="str" cm="1">
        <f t="array" ref="M851">_xlfn.IFS(OR('Original Data'!M851=0,'Original Data'!M851="No",'Original Data'!M851=FALSE),"No",OR('Original Data'!M851=1,'Original Data'!M851="Yes",'Original Data'!M851=TRUE),"Yes")</f>
        <v>Yes</v>
      </c>
    </row>
    <row r="852" spans="1:13" x14ac:dyDescent="0.2">
      <c r="A852">
        <v>851</v>
      </c>
      <c r="B852" t="s">
        <v>46</v>
      </c>
      <c r="C852" s="5">
        <v>45495</v>
      </c>
      <c r="D852" t="str">
        <f>VLOOKUP(B852,'Original Data'!B:D,3,FALSE)</f>
        <v>Canvas Sneakers</v>
      </c>
      <c r="E852" t="str">
        <f>_xlfn.XLOOKUP('Cleaned Data'!B213,'Original Data'!B:B,'Original Data'!E:E)</f>
        <v>Old Navy</v>
      </c>
      <c r="F852" t="s">
        <v>53</v>
      </c>
      <c r="G852" t="s">
        <v>54</v>
      </c>
      <c r="H852">
        <v>1</v>
      </c>
      <c r="I852" s="7">
        <v>0.2</v>
      </c>
      <c r="J852">
        <v>39.96</v>
      </c>
      <c r="K852" t="str">
        <f>PROPER('Original Data'!K852)</f>
        <v>Credit Card</v>
      </c>
      <c r="L852" t="s">
        <v>63</v>
      </c>
      <c r="M852" t="s">
        <v>92</v>
      </c>
    </row>
    <row r="853" spans="1:13" x14ac:dyDescent="0.2">
      <c r="A853">
        <v>852</v>
      </c>
      <c r="B853" t="s">
        <v>19</v>
      </c>
      <c r="C853" s="5">
        <v>45073</v>
      </c>
      <c r="D853" t="s">
        <v>20</v>
      </c>
      <c r="E853" t="s">
        <v>15</v>
      </c>
      <c r="F853" t="s">
        <v>16</v>
      </c>
      <c r="G853" t="s">
        <v>17</v>
      </c>
      <c r="H853">
        <v>4</v>
      </c>
      <c r="I853" s="7">
        <v>0.15</v>
      </c>
      <c r="J853">
        <v>305.83</v>
      </c>
      <c r="K853" t="str">
        <f>PROPER('Original Data'!K853)</f>
        <v>Apple Pay</v>
      </c>
      <c r="L853" t="s">
        <v>41</v>
      </c>
      <c r="M853" t="str" cm="1">
        <f t="array" ref="M853">_xlfn.IFS(OR('Original Data'!M853=0,'Original Data'!M853="No",'Original Data'!M853=FALSE),"No",OR('Original Data'!M853=1,'Original Data'!M853="Yes",'Original Data'!M853=TRUE),"Yes")</f>
        <v>Yes</v>
      </c>
    </row>
    <row r="854" spans="1:13" x14ac:dyDescent="0.2">
      <c r="A854">
        <v>853</v>
      </c>
      <c r="B854" t="s">
        <v>61</v>
      </c>
      <c r="C854" s="5">
        <v>45400</v>
      </c>
      <c r="D854" t="s">
        <v>62</v>
      </c>
      <c r="E854" t="s">
        <v>33</v>
      </c>
      <c r="F854" t="s">
        <v>26</v>
      </c>
      <c r="G854" t="s">
        <v>22</v>
      </c>
      <c r="H854">
        <v>3</v>
      </c>
      <c r="I854" s="7">
        <v>0.1</v>
      </c>
      <c r="J854">
        <v>94.47</v>
      </c>
      <c r="K854" t="str">
        <f>PROPER('Original Data'!K854)</f>
        <v>Cash</v>
      </c>
      <c r="L854" t="s">
        <v>45</v>
      </c>
      <c r="M854" t="str" cm="1">
        <f t="array" ref="M854">_xlfn.IFS(OR('Original Data'!M854=0,'Original Data'!M854="No",'Original Data'!M854=FALSE),"No",OR('Original Data'!M854=1,'Original Data'!M854="Yes",'Original Data'!M854=TRUE),"Yes")</f>
        <v>No</v>
      </c>
    </row>
    <row r="855" spans="1:13" x14ac:dyDescent="0.2">
      <c r="A855">
        <v>854</v>
      </c>
      <c r="B855" t="s">
        <v>24</v>
      </c>
      <c r="C855" s="5">
        <v>45543</v>
      </c>
      <c r="D855" t="str">
        <f>VLOOKUP(B855,'Original Data'!B:D,3,FALSE)</f>
        <v>NULL</v>
      </c>
      <c r="E855" t="str">
        <f>_xlfn.XLOOKUP('Cleaned Data'!B866,'Original Data'!B:B,'Original Data'!E:E)</f>
        <v>Old Navy</v>
      </c>
      <c r="F855" t="s">
        <v>40</v>
      </c>
      <c r="G855" t="s">
        <v>17</v>
      </c>
      <c r="H855">
        <v>1</v>
      </c>
      <c r="I855" s="7">
        <v>0.25</v>
      </c>
      <c r="J855">
        <v>33.71</v>
      </c>
      <c r="K855" t="str">
        <f>PROPER('Original Data'!K855)</f>
        <v>Debit Card</v>
      </c>
      <c r="L855" t="s">
        <v>55</v>
      </c>
      <c r="M855" t="s">
        <v>92</v>
      </c>
    </row>
    <row r="856" spans="1:13" x14ac:dyDescent="0.2">
      <c r="A856">
        <v>855</v>
      </c>
      <c r="B856" t="s">
        <v>68</v>
      </c>
      <c r="C856" s="5">
        <v>45166</v>
      </c>
      <c r="D856" t="s">
        <v>69</v>
      </c>
      <c r="E856" t="s">
        <v>33</v>
      </c>
      <c r="F856" t="s">
        <v>40</v>
      </c>
      <c r="G856" t="s">
        <v>17</v>
      </c>
      <c r="H856">
        <v>1</v>
      </c>
      <c r="I856" s="7">
        <v>0</v>
      </c>
      <c r="J856">
        <v>119</v>
      </c>
      <c r="K856" t="str">
        <f>PROPER('Original Data'!K856)</f>
        <v>Apple Pay</v>
      </c>
      <c r="L856" t="s">
        <v>55</v>
      </c>
      <c r="M856" t="str" cm="1">
        <f t="array" ref="M856">_xlfn.IFS(OR('Original Data'!M856=0,'Original Data'!M856="No",'Original Data'!M856=FALSE),"No",OR('Original Data'!M856=1,'Original Data'!M856="Yes",'Original Data'!M856=TRUE),"Yes")</f>
        <v>No</v>
      </c>
    </row>
    <row r="857" spans="1:13" x14ac:dyDescent="0.2">
      <c r="A857">
        <v>856</v>
      </c>
      <c r="B857" t="s">
        <v>13</v>
      </c>
      <c r="C857" s="5">
        <v>45557</v>
      </c>
      <c r="D857" t="s">
        <v>14</v>
      </c>
      <c r="E857" t="s">
        <v>15</v>
      </c>
      <c r="F857" t="s">
        <v>16</v>
      </c>
      <c r="G857" t="s">
        <v>17</v>
      </c>
      <c r="H857">
        <v>4</v>
      </c>
      <c r="I857" s="7">
        <v>0.2</v>
      </c>
      <c r="J857">
        <v>63.97</v>
      </c>
      <c r="K857" t="str">
        <f>PROPER('Original Data'!K857)</f>
        <v>Apple Pay</v>
      </c>
      <c r="L857" t="s">
        <v>30</v>
      </c>
      <c r="M857" t="str" cm="1">
        <f t="array" ref="M857">_xlfn.IFS(OR('Original Data'!M857=0,'Original Data'!M857="No",'Original Data'!M857=FALSE),"No",OR('Original Data'!M857=1,'Original Data'!M857="Yes",'Original Data'!M857=TRUE),"Yes")</f>
        <v>No</v>
      </c>
    </row>
    <row r="858" spans="1:13" x14ac:dyDescent="0.2">
      <c r="A858">
        <v>857</v>
      </c>
      <c r="B858" t="s">
        <v>24</v>
      </c>
      <c r="C858" s="5">
        <v>45220</v>
      </c>
      <c r="D858" t="s">
        <v>87</v>
      </c>
      <c r="E858" t="s">
        <v>39</v>
      </c>
      <c r="F858" t="s">
        <v>66</v>
      </c>
      <c r="G858" t="s">
        <v>67</v>
      </c>
      <c r="H858">
        <v>5</v>
      </c>
      <c r="I858" s="7">
        <v>0.15</v>
      </c>
      <c r="J858">
        <v>191.04</v>
      </c>
      <c r="K858" t="str">
        <f>PROPER('Original Data'!K858)</f>
        <v>Debit Card</v>
      </c>
      <c r="L858" t="s">
        <v>63</v>
      </c>
      <c r="M858" t="str" cm="1">
        <f t="array" ref="M858">_xlfn.IFS(OR('Original Data'!M858=0,'Original Data'!M858="No",'Original Data'!M858=FALSE),"No",OR('Original Data'!M858=1,'Original Data'!M858="Yes",'Original Data'!M858=TRUE),"Yes")</f>
        <v>Yes</v>
      </c>
    </row>
    <row r="859" spans="1:13" x14ac:dyDescent="0.2">
      <c r="A859">
        <v>858</v>
      </c>
      <c r="B859" t="s">
        <v>24</v>
      </c>
      <c r="C859" s="5">
        <v>45568</v>
      </c>
      <c r="D859" t="s">
        <v>87</v>
      </c>
      <c r="E859" t="s">
        <v>39</v>
      </c>
      <c r="F859" t="s">
        <v>26</v>
      </c>
      <c r="G859" t="s">
        <v>22</v>
      </c>
      <c r="H859">
        <v>4</v>
      </c>
      <c r="I859" s="7">
        <v>0.05</v>
      </c>
      <c r="J859">
        <v>170.81</v>
      </c>
      <c r="K859" t="str">
        <f>PROPER('Original Data'!K859)</f>
        <v>Debit Card</v>
      </c>
      <c r="L859" t="s">
        <v>28</v>
      </c>
      <c r="M859" t="str" cm="1">
        <f t="array" ref="M859">_xlfn.IFS(OR('Original Data'!M859=0,'Original Data'!M859="No",'Original Data'!M859=FALSE),"No",OR('Original Data'!M859=1,'Original Data'!M859="Yes",'Original Data'!M859=TRUE),"Yes")</f>
        <v>Yes</v>
      </c>
    </row>
    <row r="860" spans="1:13" x14ac:dyDescent="0.2">
      <c r="A860">
        <v>859</v>
      </c>
      <c r="B860" t="s">
        <v>61</v>
      </c>
      <c r="C860" s="5">
        <v>45656</v>
      </c>
      <c r="D860" t="s">
        <v>62</v>
      </c>
      <c r="E860" t="s">
        <v>33</v>
      </c>
      <c r="F860" t="s">
        <v>21</v>
      </c>
      <c r="G860" t="s">
        <v>22</v>
      </c>
      <c r="H860">
        <v>5</v>
      </c>
      <c r="I860" s="7">
        <v>0.05</v>
      </c>
      <c r="J860">
        <v>166.2</v>
      </c>
      <c r="K860" t="str">
        <f>PROPER('Original Data'!K860)</f>
        <v>Debit Card</v>
      </c>
      <c r="L860" t="s">
        <v>63</v>
      </c>
      <c r="M860" t="str" cm="1">
        <f t="array" ref="M860">_xlfn.IFS(OR('Original Data'!M860=0,'Original Data'!M860="No",'Original Data'!M860=FALSE),"No",OR('Original Data'!M860=1,'Original Data'!M860="Yes",'Original Data'!M860=TRUE),"Yes")</f>
        <v>No</v>
      </c>
    </row>
    <row r="861" spans="1:13" x14ac:dyDescent="0.2">
      <c r="A861">
        <v>860</v>
      </c>
      <c r="B861" t="s">
        <v>50</v>
      </c>
      <c r="C861" s="5">
        <v>45038</v>
      </c>
      <c r="D861" t="str">
        <f>VLOOKUP(B861,'Original Data'!B:D,3,FALSE)</f>
        <v>High-Rise Jeans</v>
      </c>
      <c r="E861" t="str">
        <f>_xlfn.XLOOKUP('Cleaned Data'!B574,'Original Data'!B:B,'Original Data'!E:E)</f>
        <v>Banana Republic</v>
      </c>
      <c r="F861" t="s">
        <v>40</v>
      </c>
      <c r="G861" t="s">
        <v>17</v>
      </c>
      <c r="H861">
        <v>2</v>
      </c>
      <c r="I861" s="7">
        <v>0.2</v>
      </c>
      <c r="J861">
        <v>111.92</v>
      </c>
      <c r="K861" t="str">
        <f>PROPER('Original Data'!K861)</f>
        <v>Gift Card</v>
      </c>
      <c r="L861" t="s">
        <v>45</v>
      </c>
      <c r="M861" t="s">
        <v>92</v>
      </c>
    </row>
    <row r="862" spans="1:13" x14ac:dyDescent="0.2">
      <c r="A862">
        <v>861</v>
      </c>
      <c r="B862" t="s">
        <v>74</v>
      </c>
      <c r="C862" s="5">
        <v>44951</v>
      </c>
      <c r="D862" t="s">
        <v>75</v>
      </c>
      <c r="E862" t="s">
        <v>76</v>
      </c>
      <c r="F862" t="s">
        <v>66</v>
      </c>
      <c r="G862" t="s">
        <v>67</v>
      </c>
      <c r="H862">
        <v>5</v>
      </c>
      <c r="I862" s="7">
        <v>0.2</v>
      </c>
      <c r="J862">
        <v>179.8</v>
      </c>
      <c r="K862" t="str">
        <f>PROPER('Original Data'!K862)</f>
        <v>Gift Card</v>
      </c>
      <c r="L862" t="s">
        <v>45</v>
      </c>
      <c r="M862" t="str" cm="1">
        <f t="array" ref="M862">_xlfn.IFS(OR('Original Data'!M862=0,'Original Data'!M862="No",'Original Data'!M862=FALSE),"No",OR('Original Data'!M862=1,'Original Data'!M862="Yes",'Original Data'!M862=TRUE),"Yes")</f>
        <v>No</v>
      </c>
    </row>
    <row r="863" spans="1:13" x14ac:dyDescent="0.2">
      <c r="A863">
        <v>862</v>
      </c>
      <c r="B863" t="s">
        <v>61</v>
      </c>
      <c r="C863" s="5">
        <v>45060</v>
      </c>
      <c r="D863" t="s">
        <v>62</v>
      </c>
      <c r="E863" t="s">
        <v>33</v>
      </c>
      <c r="F863" t="s">
        <v>34</v>
      </c>
      <c r="G863" t="s">
        <v>35</v>
      </c>
      <c r="H863">
        <v>4</v>
      </c>
      <c r="I863" s="7">
        <v>0.15</v>
      </c>
      <c r="J863">
        <v>118.97</v>
      </c>
      <c r="K863" t="str">
        <f>PROPER('Original Data'!K863)</f>
        <v>Debit Card</v>
      </c>
      <c r="L863" t="s">
        <v>41</v>
      </c>
      <c r="M863" t="str" cm="1">
        <f t="array" ref="M863">_xlfn.IFS(OR('Original Data'!M863=0,'Original Data'!M863="No",'Original Data'!M863=FALSE),"No",OR('Original Data'!M863=1,'Original Data'!M863="Yes",'Original Data'!M863=TRUE),"Yes")</f>
        <v>No</v>
      </c>
    </row>
    <row r="864" spans="1:13" x14ac:dyDescent="0.2">
      <c r="A864">
        <v>863</v>
      </c>
      <c r="B864" t="s">
        <v>58</v>
      </c>
      <c r="C864" s="5">
        <v>45134</v>
      </c>
      <c r="D864" t="s">
        <v>59</v>
      </c>
      <c r="E864" t="s">
        <v>15</v>
      </c>
      <c r="F864" t="s">
        <v>26</v>
      </c>
      <c r="G864" t="s">
        <v>22</v>
      </c>
      <c r="H864">
        <v>3</v>
      </c>
      <c r="I864" s="7">
        <v>0</v>
      </c>
      <c r="J864">
        <v>179.85</v>
      </c>
      <c r="K864" t="str">
        <f>PROPER('Original Data'!K864)</f>
        <v>Cash</v>
      </c>
      <c r="L864" t="s">
        <v>49</v>
      </c>
      <c r="M864" t="str" cm="1">
        <f t="array" ref="M864">_xlfn.IFS(OR('Original Data'!M864=0,'Original Data'!M864="No",'Original Data'!M864=FALSE),"No",OR('Original Data'!M864=1,'Original Data'!M864="Yes",'Original Data'!M864=TRUE),"Yes")</f>
        <v>Yes</v>
      </c>
    </row>
    <row r="865" spans="1:13" x14ac:dyDescent="0.2">
      <c r="A865">
        <v>864</v>
      </c>
      <c r="B865" t="s">
        <v>50</v>
      </c>
      <c r="C865" s="5">
        <v>45094</v>
      </c>
      <c r="D865" t="s">
        <v>51</v>
      </c>
      <c r="E865" t="s">
        <v>15</v>
      </c>
      <c r="F865" t="s">
        <v>66</v>
      </c>
      <c r="G865" t="s">
        <v>67</v>
      </c>
      <c r="H865">
        <v>3</v>
      </c>
      <c r="I865" s="7">
        <v>0</v>
      </c>
      <c r="J865">
        <v>209.85</v>
      </c>
      <c r="K865" t="str">
        <f>PROPER('Original Data'!K865)</f>
        <v>Debit Card</v>
      </c>
      <c r="L865" t="s">
        <v>45</v>
      </c>
      <c r="M865" t="str" cm="1">
        <f t="array" ref="M865">_xlfn.IFS(OR('Original Data'!M865=0,'Original Data'!M865="No",'Original Data'!M865=FALSE),"No",OR('Original Data'!M865=1,'Original Data'!M865="Yes",'Original Data'!M865=TRUE),"Yes")</f>
        <v>No</v>
      </c>
    </row>
    <row r="866" spans="1:13" x14ac:dyDescent="0.2">
      <c r="A866">
        <v>865</v>
      </c>
      <c r="B866" t="s">
        <v>46</v>
      </c>
      <c r="C866" s="5">
        <v>45065</v>
      </c>
      <c r="D866" t="s">
        <v>47</v>
      </c>
      <c r="E866" t="s">
        <v>48</v>
      </c>
      <c r="F866" t="s">
        <v>34</v>
      </c>
      <c r="G866" t="s">
        <v>35</v>
      </c>
      <c r="H866">
        <v>2</v>
      </c>
      <c r="I866" s="7">
        <v>0.25</v>
      </c>
      <c r="J866">
        <v>74.930000000000007</v>
      </c>
      <c r="K866" t="str">
        <f>PROPER('Original Data'!K866)</f>
        <v>Credit Card</v>
      </c>
      <c r="L866" t="s">
        <v>55</v>
      </c>
      <c r="M866" t="str" cm="1">
        <f t="array" ref="M866">_xlfn.IFS(OR('Original Data'!M866=0,'Original Data'!M866="No",'Original Data'!M866=FALSE),"No",OR('Original Data'!M866=1,'Original Data'!M866="Yes",'Original Data'!M866=TRUE),"Yes")</f>
        <v>No</v>
      </c>
    </row>
    <row r="867" spans="1:13" x14ac:dyDescent="0.2">
      <c r="A867">
        <v>866</v>
      </c>
      <c r="B867" t="s">
        <v>13</v>
      </c>
      <c r="C867" s="5">
        <v>45305</v>
      </c>
      <c r="D867" t="s">
        <v>14</v>
      </c>
      <c r="E867" t="s">
        <v>15</v>
      </c>
      <c r="F867" t="s">
        <v>44</v>
      </c>
      <c r="H867">
        <v>4</v>
      </c>
      <c r="I867" s="7">
        <v>0.15</v>
      </c>
      <c r="J867">
        <v>67.97</v>
      </c>
      <c r="K867" t="str">
        <f>PROPER('Original Data'!K867)</f>
        <v>Credit Card</v>
      </c>
      <c r="L867" t="s">
        <v>49</v>
      </c>
      <c r="M867" t="str" cm="1">
        <f t="array" ref="M867">_xlfn.IFS(OR('Original Data'!M867=0,'Original Data'!M867="No",'Original Data'!M867=FALSE),"No",OR('Original Data'!M867=1,'Original Data'!M867="Yes",'Original Data'!M867=TRUE),"Yes")</f>
        <v>No</v>
      </c>
    </row>
    <row r="868" spans="1:13" x14ac:dyDescent="0.2">
      <c r="A868">
        <v>867</v>
      </c>
      <c r="B868" t="s">
        <v>50</v>
      </c>
      <c r="C868" s="5">
        <v>45563</v>
      </c>
      <c r="D868" t="s">
        <v>51</v>
      </c>
      <c r="E868" t="s">
        <v>15</v>
      </c>
      <c r="F868" t="s">
        <v>40</v>
      </c>
      <c r="G868" t="s">
        <v>17</v>
      </c>
      <c r="H868">
        <v>1</v>
      </c>
      <c r="I868" s="7">
        <v>0.15</v>
      </c>
      <c r="J868">
        <v>59.46</v>
      </c>
      <c r="K868" t="str">
        <f>PROPER('Original Data'!K868)</f>
        <v>Credit Card</v>
      </c>
      <c r="L868" t="s">
        <v>41</v>
      </c>
      <c r="M868" t="str" cm="1">
        <f t="array" ref="M868">_xlfn.IFS(OR('Original Data'!M868=0,'Original Data'!M868="No",'Original Data'!M868=FALSE),"No",OR('Original Data'!M868=1,'Original Data'!M868="Yes",'Original Data'!M868=TRUE),"Yes")</f>
        <v>No</v>
      </c>
    </row>
    <row r="869" spans="1:13" x14ac:dyDescent="0.2">
      <c r="A869">
        <v>868</v>
      </c>
      <c r="B869" t="s">
        <v>58</v>
      </c>
      <c r="C869" s="5">
        <v>45370</v>
      </c>
      <c r="D869" t="s">
        <v>59</v>
      </c>
      <c r="E869" t="s">
        <v>15</v>
      </c>
      <c r="G869" t="s">
        <v>25</v>
      </c>
      <c r="H869">
        <v>2</v>
      </c>
      <c r="I869" s="7">
        <v>0.1</v>
      </c>
      <c r="J869">
        <v>107.91</v>
      </c>
      <c r="K869" t="str">
        <f>PROPER('Original Data'!K869)</f>
        <v>Gift Card</v>
      </c>
      <c r="L869" t="s">
        <v>30</v>
      </c>
      <c r="M869" t="str" cm="1">
        <f t="array" ref="M869">_xlfn.IFS(OR('Original Data'!M869=0,'Original Data'!M869="No",'Original Data'!M869=FALSE),"No",OR('Original Data'!M869=1,'Original Data'!M869="Yes",'Original Data'!M869=TRUE),"Yes")</f>
        <v>Yes</v>
      </c>
    </row>
    <row r="870" spans="1:13" x14ac:dyDescent="0.2">
      <c r="A870">
        <v>869</v>
      </c>
      <c r="B870" t="s">
        <v>81</v>
      </c>
      <c r="C870" s="5">
        <v>45408</v>
      </c>
      <c r="D870" t="s">
        <v>82</v>
      </c>
      <c r="E870" t="s">
        <v>15</v>
      </c>
      <c r="F870" t="s">
        <v>26</v>
      </c>
      <c r="G870" t="s">
        <v>22</v>
      </c>
      <c r="H870">
        <v>1</v>
      </c>
      <c r="I870" s="7">
        <v>0.1</v>
      </c>
      <c r="J870">
        <v>71.959999999999994</v>
      </c>
      <c r="K870" t="str">
        <f>PROPER('Original Data'!K870)</f>
        <v>Debit Card</v>
      </c>
      <c r="L870" t="s">
        <v>28</v>
      </c>
      <c r="M870" t="str" cm="1">
        <f t="array" ref="M870">_xlfn.IFS(OR('Original Data'!M870=0,'Original Data'!M870="No",'Original Data'!M870=FALSE),"No",OR('Original Data'!M870=1,'Original Data'!M870="Yes",'Original Data'!M870=TRUE),"Yes")</f>
        <v>Yes</v>
      </c>
    </row>
    <row r="871" spans="1:13" x14ac:dyDescent="0.2">
      <c r="A871">
        <v>870</v>
      </c>
      <c r="B871" t="s">
        <v>61</v>
      </c>
      <c r="C871" s="5">
        <v>45215</v>
      </c>
      <c r="D871" t="s">
        <v>62</v>
      </c>
      <c r="E871" t="s">
        <v>33</v>
      </c>
      <c r="F871" t="s">
        <v>40</v>
      </c>
      <c r="G871" t="s">
        <v>17</v>
      </c>
      <c r="H871">
        <v>3</v>
      </c>
      <c r="I871" s="7">
        <v>0.1</v>
      </c>
      <c r="J871">
        <v>94.47</v>
      </c>
      <c r="K871" t="str">
        <f>PROPER('Original Data'!K871)</f>
        <v>Gift Card</v>
      </c>
      <c r="L871" t="s">
        <v>63</v>
      </c>
      <c r="M871" t="str" cm="1">
        <f t="array" ref="M871">_xlfn.IFS(OR('Original Data'!M871=0,'Original Data'!M871="No",'Original Data'!M871=FALSE),"No",OR('Original Data'!M871=1,'Original Data'!M871="Yes",'Original Data'!M871=TRUE),"Yes")</f>
        <v>No</v>
      </c>
    </row>
    <row r="872" spans="1:13" x14ac:dyDescent="0.2">
      <c r="A872">
        <v>871</v>
      </c>
      <c r="B872" t="s">
        <v>19</v>
      </c>
      <c r="C872" s="5">
        <v>45084</v>
      </c>
      <c r="D872" t="s">
        <v>20</v>
      </c>
      <c r="E872" t="s">
        <v>15</v>
      </c>
      <c r="F872" t="s">
        <v>16</v>
      </c>
      <c r="G872" t="s">
        <v>17</v>
      </c>
      <c r="H872">
        <v>1</v>
      </c>
      <c r="I872" s="7">
        <v>0</v>
      </c>
      <c r="J872">
        <v>89.95</v>
      </c>
      <c r="K872" t="str">
        <f>PROPER('Original Data'!K872)</f>
        <v>Credit Card</v>
      </c>
      <c r="L872" t="s">
        <v>49</v>
      </c>
      <c r="M872" t="str" cm="1">
        <f t="array" ref="M872">_xlfn.IFS(OR('Original Data'!M872=0,'Original Data'!M872="No",'Original Data'!M872=FALSE),"No",OR('Original Data'!M872=1,'Original Data'!M872="Yes",'Original Data'!M872=TRUE),"Yes")</f>
        <v>Yes</v>
      </c>
    </row>
    <row r="873" spans="1:13" x14ac:dyDescent="0.2">
      <c r="A873">
        <v>872</v>
      </c>
      <c r="B873" t="s">
        <v>88</v>
      </c>
      <c r="C873" s="5">
        <v>45069</v>
      </c>
      <c r="D873" t="s">
        <v>89</v>
      </c>
      <c r="E873" t="s">
        <v>33</v>
      </c>
      <c r="F873" t="s">
        <v>44</v>
      </c>
      <c r="H873">
        <v>1</v>
      </c>
      <c r="I873" s="7">
        <v>0</v>
      </c>
      <c r="J873">
        <v>198</v>
      </c>
      <c r="K873" t="str">
        <f>PROPER('Original Data'!K873)</f>
        <v>Apple Pay</v>
      </c>
      <c r="L873" t="s">
        <v>23</v>
      </c>
      <c r="M873" t="str" cm="1">
        <f t="array" ref="M873">_xlfn.IFS(OR('Original Data'!M873=0,'Original Data'!M873="No",'Original Data'!M873=FALSE),"No",OR('Original Data'!M873=1,'Original Data'!M873="Yes",'Original Data'!M873=TRUE),"Yes")</f>
        <v>No</v>
      </c>
    </row>
    <row r="874" spans="1:13" x14ac:dyDescent="0.2">
      <c r="A874">
        <v>873</v>
      </c>
      <c r="B874" t="s">
        <v>74</v>
      </c>
      <c r="C874" s="5">
        <v>45652</v>
      </c>
      <c r="D874" t="str">
        <f>VLOOKUP(B874,'Original Data'!B:D,3,FALSE)</f>
        <v>Silk Scarf</v>
      </c>
      <c r="E874" t="str">
        <f>_xlfn.XLOOKUP('Cleaned Data'!B738,'Original Data'!B:B,'Original Data'!E:E)</f>
        <v>Old Navy</v>
      </c>
      <c r="F874" t="s">
        <v>16</v>
      </c>
      <c r="G874" t="s">
        <v>17</v>
      </c>
      <c r="H874">
        <v>3</v>
      </c>
      <c r="I874" s="7">
        <v>0.05</v>
      </c>
      <c r="J874">
        <v>128.11000000000001</v>
      </c>
      <c r="K874" t="str">
        <f>PROPER('Original Data'!K874)</f>
        <v>Debit Card</v>
      </c>
      <c r="L874" t="s">
        <v>41</v>
      </c>
      <c r="M874" t="s">
        <v>92</v>
      </c>
    </row>
    <row r="875" spans="1:13" x14ac:dyDescent="0.2">
      <c r="A875">
        <v>874</v>
      </c>
      <c r="B875" t="s">
        <v>64</v>
      </c>
      <c r="C875" s="5">
        <v>45004</v>
      </c>
      <c r="D875" t="s">
        <v>65</v>
      </c>
      <c r="E875" t="s">
        <v>33</v>
      </c>
      <c r="F875" t="s">
        <v>34</v>
      </c>
      <c r="G875" t="s">
        <v>35</v>
      </c>
      <c r="H875">
        <v>2</v>
      </c>
      <c r="I875" s="7">
        <v>0.05</v>
      </c>
      <c r="J875">
        <v>142.4</v>
      </c>
      <c r="K875" t="str">
        <f>PROPER('Original Data'!K875)</f>
        <v>Apple Pay</v>
      </c>
      <c r="L875" t="s">
        <v>55</v>
      </c>
      <c r="M875" t="str" cm="1">
        <f t="array" ref="M875">_xlfn.IFS(OR('Original Data'!M875=0,'Original Data'!M875="No",'Original Data'!M875=FALSE),"No",OR('Original Data'!M875=1,'Original Data'!M875="Yes",'Original Data'!M875=TRUE),"Yes")</f>
        <v>No</v>
      </c>
    </row>
    <row r="876" spans="1:13" x14ac:dyDescent="0.2">
      <c r="A876">
        <v>875</v>
      </c>
      <c r="B876" t="s">
        <v>37</v>
      </c>
      <c r="C876" s="5">
        <v>45173</v>
      </c>
      <c r="D876" t="str">
        <f>VLOOKUP(B876,'Original Data'!B:D,3,FALSE)</f>
        <v>Running Leggings</v>
      </c>
      <c r="E876" t="str">
        <f>_xlfn.XLOOKUP('Cleaned Data'!B390,'Original Data'!B:B,'Original Data'!E:E)</f>
        <v>GAP</v>
      </c>
      <c r="G876" t="s">
        <v>25</v>
      </c>
      <c r="H876">
        <v>4</v>
      </c>
      <c r="I876" s="7">
        <v>0.1</v>
      </c>
      <c r="J876">
        <v>233.82</v>
      </c>
      <c r="K876" t="str">
        <f>PROPER('Original Data'!K876)</f>
        <v>Apple Pay</v>
      </c>
      <c r="L876" t="s">
        <v>49</v>
      </c>
      <c r="M876" t="s">
        <v>92</v>
      </c>
    </row>
    <row r="877" spans="1:13" x14ac:dyDescent="0.2">
      <c r="A877">
        <v>876</v>
      </c>
      <c r="B877" t="s">
        <v>71</v>
      </c>
      <c r="C877" s="5">
        <v>45617</v>
      </c>
      <c r="D877" t="s">
        <v>72</v>
      </c>
      <c r="E877" t="s">
        <v>33</v>
      </c>
      <c r="F877" t="s">
        <v>26</v>
      </c>
      <c r="G877" t="s">
        <v>22</v>
      </c>
      <c r="H877">
        <v>4</v>
      </c>
      <c r="I877" s="7">
        <v>0</v>
      </c>
      <c r="J877">
        <v>239.8</v>
      </c>
      <c r="K877" t="str">
        <f>PROPER('Original Data'!K877)</f>
        <v>Credit Card</v>
      </c>
      <c r="L877" t="s">
        <v>41</v>
      </c>
      <c r="M877" t="str" cm="1">
        <f t="array" ref="M877">_xlfn.IFS(OR('Original Data'!M877=0,'Original Data'!M877="No",'Original Data'!M877=FALSE),"No",OR('Original Data'!M877=1,'Original Data'!M877="Yes",'Original Data'!M877=TRUE),"Yes")</f>
        <v>Yes</v>
      </c>
    </row>
    <row r="878" spans="1:13" x14ac:dyDescent="0.2">
      <c r="A878">
        <v>877</v>
      </c>
      <c r="B878" t="s">
        <v>24</v>
      </c>
      <c r="C878" s="5">
        <v>45234</v>
      </c>
      <c r="D878" t="s">
        <v>87</v>
      </c>
      <c r="E878" t="s">
        <v>39</v>
      </c>
      <c r="F878" t="s">
        <v>40</v>
      </c>
      <c r="G878" t="s">
        <v>17</v>
      </c>
      <c r="H878">
        <v>3</v>
      </c>
      <c r="I878" s="7">
        <v>0.25</v>
      </c>
      <c r="J878">
        <v>101.14</v>
      </c>
      <c r="K878" t="str">
        <f>PROPER('Original Data'!K878)</f>
        <v>Gift Card</v>
      </c>
      <c r="L878" t="s">
        <v>49</v>
      </c>
      <c r="M878" t="str" cm="1">
        <f t="array" ref="M878">_xlfn.IFS(OR('Original Data'!M878=0,'Original Data'!M878="No",'Original Data'!M878=FALSE),"No",OR('Original Data'!M878=1,'Original Data'!M878="Yes",'Original Data'!M878=TRUE),"Yes")</f>
        <v>Yes</v>
      </c>
    </row>
    <row r="879" spans="1:13" x14ac:dyDescent="0.2">
      <c r="A879">
        <v>878</v>
      </c>
      <c r="B879" t="s">
        <v>24</v>
      </c>
      <c r="C879" s="5">
        <v>45321</v>
      </c>
      <c r="D879" t="s">
        <v>87</v>
      </c>
      <c r="E879" t="s">
        <v>39</v>
      </c>
      <c r="F879" t="s">
        <v>21</v>
      </c>
      <c r="G879" t="s">
        <v>22</v>
      </c>
      <c r="H879">
        <v>4</v>
      </c>
      <c r="I879" s="7">
        <v>0.25</v>
      </c>
      <c r="J879">
        <v>134.85</v>
      </c>
      <c r="K879" t="str">
        <f>PROPER('Original Data'!K879)</f>
        <v>Debit Card</v>
      </c>
      <c r="L879" t="s">
        <v>45</v>
      </c>
      <c r="M879" t="str" cm="1">
        <f t="array" ref="M879">_xlfn.IFS(OR('Original Data'!M879=0,'Original Data'!M879="No",'Original Data'!M879=FALSE),"No",OR('Original Data'!M879=1,'Original Data'!M879="Yes",'Original Data'!M879=TRUE),"Yes")</f>
        <v>Yes</v>
      </c>
    </row>
    <row r="880" spans="1:13" x14ac:dyDescent="0.2">
      <c r="A880">
        <v>879</v>
      </c>
      <c r="B880" t="s">
        <v>61</v>
      </c>
      <c r="C880" s="5">
        <v>44943</v>
      </c>
      <c r="D880" t="s">
        <v>62</v>
      </c>
      <c r="E880" t="s">
        <v>33</v>
      </c>
      <c r="F880" t="s">
        <v>66</v>
      </c>
      <c r="G880" t="s">
        <v>67</v>
      </c>
      <c r="H880">
        <v>5</v>
      </c>
      <c r="I880" s="7">
        <v>0</v>
      </c>
      <c r="J880">
        <v>174.95</v>
      </c>
      <c r="K880" t="str">
        <f>PROPER('Original Data'!K880)</f>
        <v>Credit Card</v>
      </c>
      <c r="L880" t="s">
        <v>63</v>
      </c>
      <c r="M880" t="str" cm="1">
        <f t="array" ref="M880">_xlfn.IFS(OR('Original Data'!M880=0,'Original Data'!M880="No",'Original Data'!M880=FALSE),"No",OR('Original Data'!M880=1,'Original Data'!M880="Yes",'Original Data'!M880=TRUE),"Yes")</f>
        <v>No</v>
      </c>
    </row>
    <row r="881" spans="1:13" x14ac:dyDescent="0.2">
      <c r="A881">
        <v>880</v>
      </c>
      <c r="B881" t="s">
        <v>83</v>
      </c>
      <c r="C881" s="5">
        <v>45090</v>
      </c>
      <c r="D881" t="s">
        <v>84</v>
      </c>
      <c r="E881" t="s">
        <v>48</v>
      </c>
      <c r="F881" t="s">
        <v>34</v>
      </c>
      <c r="G881" t="s">
        <v>35</v>
      </c>
      <c r="H881">
        <v>5</v>
      </c>
      <c r="I881" s="7">
        <v>0.25</v>
      </c>
      <c r="J881">
        <v>187.31</v>
      </c>
      <c r="K881" t="str">
        <f>PROPER('Original Data'!K881)</f>
        <v>Gift Card</v>
      </c>
      <c r="L881" t="s">
        <v>28</v>
      </c>
      <c r="M881" t="str" cm="1">
        <f t="array" ref="M881">_xlfn.IFS(OR('Original Data'!M881=0,'Original Data'!M881="No",'Original Data'!M881=FALSE),"No",OR('Original Data'!M881=1,'Original Data'!M881="Yes",'Original Data'!M881=TRUE),"Yes")</f>
        <v>No</v>
      </c>
    </row>
    <row r="882" spans="1:13" x14ac:dyDescent="0.2">
      <c r="A882">
        <v>881</v>
      </c>
      <c r="B882" t="s">
        <v>78</v>
      </c>
      <c r="C882" s="5">
        <v>44940</v>
      </c>
      <c r="D882" t="s">
        <v>79</v>
      </c>
      <c r="E882" t="s">
        <v>48</v>
      </c>
      <c r="F882" t="s">
        <v>34</v>
      </c>
      <c r="G882" t="s">
        <v>35</v>
      </c>
      <c r="H882">
        <v>4</v>
      </c>
      <c r="I882" s="7">
        <v>0.05</v>
      </c>
      <c r="J882">
        <v>151.81</v>
      </c>
      <c r="K882" t="str">
        <f>PROPER('Original Data'!K882)</f>
        <v>Gift Card</v>
      </c>
      <c r="L882" t="s">
        <v>28</v>
      </c>
      <c r="M882" t="str" cm="1">
        <f t="array" ref="M882">_xlfn.IFS(OR('Original Data'!M882=0,'Original Data'!M882="No",'Original Data'!M882=FALSE),"No",OR('Original Data'!M882=1,'Original Data'!M882="Yes",'Original Data'!M882=TRUE),"Yes")</f>
        <v>Yes</v>
      </c>
    </row>
    <row r="883" spans="1:13" x14ac:dyDescent="0.2">
      <c r="A883">
        <v>882</v>
      </c>
      <c r="B883" t="s">
        <v>61</v>
      </c>
      <c r="C883" s="5">
        <v>45384</v>
      </c>
      <c r="D883" t="s">
        <v>62</v>
      </c>
      <c r="E883" t="s">
        <v>33</v>
      </c>
      <c r="F883" t="s">
        <v>40</v>
      </c>
      <c r="G883" t="s">
        <v>17</v>
      </c>
      <c r="H883">
        <v>3</v>
      </c>
      <c r="I883" s="7">
        <v>0.25</v>
      </c>
      <c r="J883">
        <v>78.73</v>
      </c>
      <c r="K883" t="str">
        <f>PROPER('Original Data'!K883)</f>
        <v>Credit Card</v>
      </c>
      <c r="L883" t="s">
        <v>55</v>
      </c>
      <c r="M883" t="str" cm="1">
        <f t="array" ref="M883">_xlfn.IFS(OR('Original Data'!M883=0,'Original Data'!M883="No",'Original Data'!M883=FALSE),"No",OR('Original Data'!M883=1,'Original Data'!M883="Yes",'Original Data'!M883=TRUE),"Yes")</f>
        <v>No</v>
      </c>
    </row>
    <row r="884" spans="1:13" x14ac:dyDescent="0.2">
      <c r="A884">
        <v>883</v>
      </c>
      <c r="B884" t="s">
        <v>56</v>
      </c>
      <c r="C884" s="5">
        <v>45256</v>
      </c>
      <c r="D884" t="s">
        <v>57</v>
      </c>
      <c r="E884" t="s">
        <v>48</v>
      </c>
      <c r="F884" t="s">
        <v>53</v>
      </c>
      <c r="G884" t="s">
        <v>54</v>
      </c>
      <c r="H884">
        <v>3</v>
      </c>
      <c r="I884" s="7">
        <v>0.15</v>
      </c>
      <c r="J884">
        <v>216.75</v>
      </c>
      <c r="K884" t="str">
        <f>PROPER('Original Data'!K884)</f>
        <v>Debit Card</v>
      </c>
      <c r="L884" t="s">
        <v>63</v>
      </c>
      <c r="M884" t="str" cm="1">
        <f t="array" ref="M884">_xlfn.IFS(OR('Original Data'!M884=0,'Original Data'!M884="No",'Original Data'!M884=FALSE),"No",OR('Original Data'!M884=1,'Original Data'!M884="Yes",'Original Data'!M884=TRUE),"Yes")</f>
        <v>Yes</v>
      </c>
    </row>
    <row r="885" spans="1:13" x14ac:dyDescent="0.2">
      <c r="A885">
        <v>884</v>
      </c>
      <c r="B885" t="s">
        <v>78</v>
      </c>
      <c r="C885" s="5">
        <v>45256</v>
      </c>
      <c r="D885" t="str">
        <f>VLOOKUP(B885,'Original Data'!B:D,3,FALSE)</f>
        <v>Cargo Shorts</v>
      </c>
      <c r="E885" t="str">
        <f>_xlfn.XLOOKUP('Cleaned Data'!B989,'Original Data'!B:B,'Original Data'!E:E)</f>
        <v>Banana Republic</v>
      </c>
      <c r="F885" t="s">
        <v>40</v>
      </c>
      <c r="G885" t="s">
        <v>17</v>
      </c>
      <c r="H885">
        <v>1</v>
      </c>
      <c r="I885" s="7">
        <v>0.2</v>
      </c>
      <c r="J885">
        <v>31.96</v>
      </c>
      <c r="K885" t="s">
        <v>90</v>
      </c>
      <c r="L885" t="s">
        <v>45</v>
      </c>
      <c r="M885" t="s">
        <v>92</v>
      </c>
    </row>
    <row r="886" spans="1:13" x14ac:dyDescent="0.2">
      <c r="A886">
        <v>885</v>
      </c>
      <c r="B886" t="s">
        <v>61</v>
      </c>
      <c r="C886" s="5">
        <v>45155</v>
      </c>
      <c r="D886" t="s">
        <v>62</v>
      </c>
      <c r="E886" t="s">
        <v>33</v>
      </c>
      <c r="G886" t="s">
        <v>25</v>
      </c>
      <c r="H886">
        <v>3</v>
      </c>
      <c r="I886" s="7">
        <v>0</v>
      </c>
      <c r="J886">
        <v>104.97</v>
      </c>
      <c r="K886" t="str">
        <f>PROPER('Original Data'!K886)</f>
        <v>Debit Card</v>
      </c>
      <c r="L886" t="s">
        <v>41</v>
      </c>
      <c r="M886" t="str" cm="1">
        <f t="array" ref="M886">_xlfn.IFS(OR('Original Data'!M886=0,'Original Data'!M886="No",'Original Data'!M886=FALSE),"No",OR('Original Data'!M886=1,'Original Data'!M886="Yes",'Original Data'!M886=TRUE),"Yes")</f>
        <v>No</v>
      </c>
    </row>
    <row r="887" spans="1:13" x14ac:dyDescent="0.2">
      <c r="A887">
        <v>886</v>
      </c>
      <c r="B887" t="s">
        <v>37</v>
      </c>
      <c r="C887" s="5">
        <v>44989</v>
      </c>
      <c r="D887" t="s">
        <v>38</v>
      </c>
      <c r="E887" t="s">
        <v>39</v>
      </c>
      <c r="F887" t="s">
        <v>34</v>
      </c>
      <c r="G887" t="s">
        <v>35</v>
      </c>
      <c r="H887">
        <v>5</v>
      </c>
      <c r="I887" s="7">
        <v>0</v>
      </c>
      <c r="J887">
        <v>324.75</v>
      </c>
      <c r="K887" t="str">
        <f>PROPER('Original Data'!K887)</f>
        <v>Apple Pay</v>
      </c>
      <c r="L887" t="s">
        <v>30</v>
      </c>
      <c r="M887" t="str" cm="1">
        <f t="array" ref="M887">_xlfn.IFS(OR('Original Data'!M887=0,'Original Data'!M887="No",'Original Data'!M887=FALSE),"No",OR('Original Data'!M887=1,'Original Data'!M887="Yes",'Original Data'!M887=TRUE),"Yes")</f>
        <v>Yes</v>
      </c>
    </row>
    <row r="888" spans="1:13" x14ac:dyDescent="0.2">
      <c r="A888">
        <v>887</v>
      </c>
      <c r="B888" t="s">
        <v>61</v>
      </c>
      <c r="C888" s="5">
        <v>45586</v>
      </c>
      <c r="D888" t="s">
        <v>62</v>
      </c>
      <c r="E888" t="s">
        <v>33</v>
      </c>
      <c r="F888" t="s">
        <v>34</v>
      </c>
      <c r="G888" t="s">
        <v>35</v>
      </c>
      <c r="H888">
        <v>3</v>
      </c>
      <c r="I888" s="7">
        <v>0</v>
      </c>
      <c r="J888">
        <v>104.97</v>
      </c>
      <c r="K888" t="str">
        <f>PROPER('Original Data'!K888)</f>
        <v>Apple Pay</v>
      </c>
      <c r="L888" t="s">
        <v>23</v>
      </c>
      <c r="M888" t="str" cm="1">
        <f t="array" ref="M888">_xlfn.IFS(OR('Original Data'!M888=0,'Original Data'!M888="No",'Original Data'!M888=FALSE),"No",OR('Original Data'!M888=1,'Original Data'!M888="Yes",'Original Data'!M888=TRUE),"Yes")</f>
        <v>No</v>
      </c>
    </row>
    <row r="889" spans="1:13" x14ac:dyDescent="0.2">
      <c r="A889">
        <v>888</v>
      </c>
      <c r="B889" t="s">
        <v>64</v>
      </c>
      <c r="C889" s="5">
        <v>45548</v>
      </c>
      <c r="D889" t="s">
        <v>65</v>
      </c>
      <c r="E889" t="s">
        <v>33</v>
      </c>
      <c r="F889" t="s">
        <v>16</v>
      </c>
      <c r="G889" t="s">
        <v>17</v>
      </c>
      <c r="H889">
        <v>4</v>
      </c>
      <c r="I889" s="7">
        <v>0</v>
      </c>
      <c r="J889">
        <v>299.8</v>
      </c>
      <c r="K889" t="str">
        <f>PROPER('Original Data'!K889)</f>
        <v>Apple Pay</v>
      </c>
      <c r="L889" t="s">
        <v>63</v>
      </c>
      <c r="M889" t="str" cm="1">
        <f t="array" ref="M889">_xlfn.IFS(OR('Original Data'!M889=0,'Original Data'!M889="No",'Original Data'!M889=FALSE),"No",OR('Original Data'!M889=1,'Original Data'!M889="Yes",'Original Data'!M889=TRUE),"Yes")</f>
        <v>No</v>
      </c>
    </row>
    <row r="890" spans="1:13" x14ac:dyDescent="0.2">
      <c r="A890">
        <v>889</v>
      </c>
      <c r="B890" t="s">
        <v>56</v>
      </c>
      <c r="C890" s="5">
        <v>45109</v>
      </c>
      <c r="D890" t="str">
        <f>VLOOKUP(B890,'Original Data'!B:D,3,FALSE)</f>
        <v>Rain Jacket</v>
      </c>
      <c r="E890" t="str">
        <f>_xlfn.XLOOKUP('Cleaned Data'!B1053,'Original Data'!B:B,'Original Data'!E:E)</f>
        <v>Old Navy</v>
      </c>
      <c r="F890" t="s">
        <v>21</v>
      </c>
      <c r="G890" t="s">
        <v>22</v>
      </c>
      <c r="H890">
        <v>1</v>
      </c>
      <c r="I890" s="7">
        <v>0.2</v>
      </c>
      <c r="J890">
        <v>68</v>
      </c>
      <c r="K890" t="str">
        <f>PROPER('Original Data'!K890)</f>
        <v>Gift Card</v>
      </c>
      <c r="L890" t="s">
        <v>49</v>
      </c>
      <c r="M890" t="s">
        <v>92</v>
      </c>
    </row>
    <row r="891" spans="1:13" x14ac:dyDescent="0.2">
      <c r="A891">
        <v>890</v>
      </c>
      <c r="B891" t="s">
        <v>83</v>
      </c>
      <c r="C891" s="5">
        <v>45031</v>
      </c>
      <c r="D891" t="s">
        <v>84</v>
      </c>
      <c r="E891" t="s">
        <v>48</v>
      </c>
      <c r="F891" t="s">
        <v>66</v>
      </c>
      <c r="G891" t="s">
        <v>67</v>
      </c>
      <c r="H891">
        <v>1</v>
      </c>
      <c r="I891" s="7">
        <v>0</v>
      </c>
      <c r="J891">
        <v>49.95</v>
      </c>
      <c r="K891" t="str">
        <f>PROPER('Original Data'!K891)</f>
        <v>Debit Card</v>
      </c>
      <c r="L891" t="s">
        <v>45</v>
      </c>
      <c r="M891" t="str" cm="1">
        <f t="array" ref="M891">_xlfn.IFS(OR('Original Data'!M891=0,'Original Data'!M891="No",'Original Data'!M891=FALSE),"No",OR('Original Data'!M891=1,'Original Data'!M891="Yes",'Original Data'!M891=TRUE),"Yes")</f>
        <v>No</v>
      </c>
    </row>
    <row r="892" spans="1:13" x14ac:dyDescent="0.2">
      <c r="A892">
        <v>891</v>
      </c>
      <c r="B892" t="s">
        <v>56</v>
      </c>
      <c r="C892" s="5">
        <v>45085</v>
      </c>
      <c r="D892" t="s">
        <v>57</v>
      </c>
      <c r="E892" t="s">
        <v>48</v>
      </c>
      <c r="F892" t="s">
        <v>21</v>
      </c>
      <c r="G892" t="s">
        <v>22</v>
      </c>
      <c r="H892">
        <v>1</v>
      </c>
      <c r="I892" s="7">
        <v>0.2</v>
      </c>
      <c r="J892">
        <v>68</v>
      </c>
      <c r="K892" t="str">
        <f>PROPER('Original Data'!K892)</f>
        <v>Apple Pay</v>
      </c>
      <c r="L892" t="s">
        <v>28</v>
      </c>
      <c r="M892" t="str" cm="1">
        <f t="array" ref="M892">_xlfn.IFS(OR('Original Data'!M892=0,'Original Data'!M892="No",'Original Data'!M892=FALSE),"No",OR('Original Data'!M892=1,'Original Data'!M892="Yes",'Original Data'!M892=TRUE),"Yes")</f>
        <v>Yes</v>
      </c>
    </row>
    <row r="893" spans="1:13" x14ac:dyDescent="0.2">
      <c r="A893">
        <v>892</v>
      </c>
      <c r="B893" t="s">
        <v>58</v>
      </c>
      <c r="C893" s="5">
        <v>45151</v>
      </c>
      <c r="D893" t="s">
        <v>59</v>
      </c>
      <c r="E893" t="s">
        <v>15</v>
      </c>
      <c r="F893" t="s">
        <v>26</v>
      </c>
      <c r="G893" t="s">
        <v>22</v>
      </c>
      <c r="H893">
        <v>2</v>
      </c>
      <c r="I893" s="7">
        <v>0.25</v>
      </c>
      <c r="J893">
        <v>89.93</v>
      </c>
      <c r="K893" t="str">
        <f>PROPER('Original Data'!K893)</f>
        <v>Credit Card</v>
      </c>
      <c r="L893" t="s">
        <v>23</v>
      </c>
      <c r="M893" t="str" cm="1">
        <f t="array" ref="M893">_xlfn.IFS(OR('Original Data'!M893=0,'Original Data'!M893="No",'Original Data'!M893=FALSE),"No",OR('Original Data'!M893=1,'Original Data'!M893="Yes",'Original Data'!M893=TRUE),"Yes")</f>
        <v>Yes</v>
      </c>
    </row>
    <row r="894" spans="1:13" x14ac:dyDescent="0.2">
      <c r="A894">
        <v>893</v>
      </c>
      <c r="B894" t="s">
        <v>83</v>
      </c>
      <c r="C894" s="5">
        <v>45131</v>
      </c>
      <c r="D894" t="s">
        <v>84</v>
      </c>
      <c r="E894" t="s">
        <v>48</v>
      </c>
      <c r="G894" t="s">
        <v>25</v>
      </c>
      <c r="H894">
        <v>1</v>
      </c>
      <c r="I894" s="7">
        <v>0.2</v>
      </c>
      <c r="J894">
        <v>39.96</v>
      </c>
      <c r="K894" t="str">
        <f>PROPER('Original Data'!K894)</f>
        <v>Credit Card</v>
      </c>
      <c r="L894" t="s">
        <v>55</v>
      </c>
      <c r="M894" t="str" cm="1">
        <f t="array" ref="M894">_xlfn.IFS(OR('Original Data'!M894=0,'Original Data'!M894="No",'Original Data'!M894=FALSE),"No",OR('Original Data'!M894=1,'Original Data'!M894="Yes",'Original Data'!M894=TRUE),"Yes")</f>
        <v>No</v>
      </c>
    </row>
    <row r="895" spans="1:13" x14ac:dyDescent="0.2">
      <c r="A895">
        <v>894</v>
      </c>
      <c r="B895" t="s">
        <v>37</v>
      </c>
      <c r="C895" s="5">
        <v>45496</v>
      </c>
      <c r="D895" t="s">
        <v>38</v>
      </c>
      <c r="E895" t="s">
        <v>39</v>
      </c>
      <c r="F895" t="s">
        <v>21</v>
      </c>
      <c r="G895" t="s">
        <v>22</v>
      </c>
      <c r="H895">
        <v>2</v>
      </c>
      <c r="I895" s="7">
        <v>0</v>
      </c>
      <c r="J895">
        <v>129.9</v>
      </c>
      <c r="K895" t="str">
        <f>PROPER('Original Data'!K895)</f>
        <v>Cash</v>
      </c>
      <c r="L895" t="s">
        <v>30</v>
      </c>
      <c r="M895" t="str" cm="1">
        <f t="array" ref="M895">_xlfn.IFS(OR('Original Data'!M895=0,'Original Data'!M895="No",'Original Data'!M895=FALSE),"No",OR('Original Data'!M895=1,'Original Data'!M895="Yes",'Original Data'!M895=TRUE),"Yes")</f>
        <v>Yes</v>
      </c>
    </row>
    <row r="896" spans="1:13" x14ac:dyDescent="0.2">
      <c r="A896">
        <v>895</v>
      </c>
      <c r="B896" t="s">
        <v>24</v>
      </c>
      <c r="C896" s="5">
        <v>45116</v>
      </c>
      <c r="D896" t="s">
        <v>87</v>
      </c>
      <c r="E896" t="s">
        <v>39</v>
      </c>
      <c r="G896" t="s">
        <v>25</v>
      </c>
      <c r="H896">
        <v>1</v>
      </c>
      <c r="I896" s="7">
        <v>0.25</v>
      </c>
      <c r="J896">
        <v>33.71</v>
      </c>
      <c r="K896" t="str">
        <f>PROPER('Original Data'!K896)</f>
        <v>Debit Card</v>
      </c>
      <c r="L896" t="s">
        <v>28</v>
      </c>
      <c r="M896" t="str" cm="1">
        <f t="array" ref="M896">_xlfn.IFS(OR('Original Data'!M896=0,'Original Data'!M896="No",'Original Data'!M896=FALSE),"No",OR('Original Data'!M896=1,'Original Data'!M896="Yes",'Original Data'!M896=TRUE),"Yes")</f>
        <v>Yes</v>
      </c>
    </row>
    <row r="897" spans="1:13" x14ac:dyDescent="0.2">
      <c r="A897">
        <v>896</v>
      </c>
      <c r="B897" t="s">
        <v>81</v>
      </c>
      <c r="C897" s="5">
        <v>45590</v>
      </c>
      <c r="D897" t="str">
        <f>VLOOKUP(B897,'Original Data'!B:D,3,FALSE)</f>
        <v>Slip-On Loafers</v>
      </c>
      <c r="E897" t="str">
        <f>_xlfn.XLOOKUP('Cleaned Data'!B1129,'Original Data'!B:B,'Original Data'!E:E)</f>
        <v>Old Navy</v>
      </c>
      <c r="F897" t="s">
        <v>34</v>
      </c>
      <c r="G897" t="s">
        <v>35</v>
      </c>
      <c r="H897">
        <v>3</v>
      </c>
      <c r="I897" s="7">
        <v>0.15</v>
      </c>
      <c r="J897">
        <v>203.87</v>
      </c>
      <c r="K897" t="str">
        <f>PROPER('Original Data'!K897)</f>
        <v>Credit Card</v>
      </c>
      <c r="L897" t="s">
        <v>41</v>
      </c>
      <c r="M897" t="s">
        <v>92</v>
      </c>
    </row>
    <row r="898" spans="1:13" x14ac:dyDescent="0.2">
      <c r="A898">
        <v>897</v>
      </c>
      <c r="B898" t="s">
        <v>83</v>
      </c>
      <c r="C898" s="5">
        <v>45543</v>
      </c>
      <c r="D898" t="s">
        <v>84</v>
      </c>
      <c r="E898" t="s">
        <v>48</v>
      </c>
      <c r="F898" t="s">
        <v>34</v>
      </c>
      <c r="G898" t="s">
        <v>35</v>
      </c>
      <c r="H898">
        <v>4</v>
      </c>
      <c r="I898" s="7">
        <v>0.15</v>
      </c>
      <c r="J898">
        <v>169.83</v>
      </c>
      <c r="K898" t="str">
        <f>PROPER('Original Data'!K898)</f>
        <v>Gift Card</v>
      </c>
      <c r="L898" t="s">
        <v>41</v>
      </c>
      <c r="M898" t="str" cm="1">
        <f t="array" ref="M898">_xlfn.IFS(OR('Original Data'!M898=0,'Original Data'!M898="No",'Original Data'!M898=FALSE),"No",OR('Original Data'!M898=1,'Original Data'!M898="Yes",'Original Data'!M898=TRUE),"Yes")</f>
        <v>No</v>
      </c>
    </row>
    <row r="899" spans="1:13" x14ac:dyDescent="0.2">
      <c r="A899">
        <v>898</v>
      </c>
      <c r="B899" t="s">
        <v>13</v>
      </c>
      <c r="C899" s="5">
        <v>44927</v>
      </c>
      <c r="D899" t="s">
        <v>14</v>
      </c>
      <c r="E899" t="s">
        <v>15</v>
      </c>
      <c r="F899" t="s">
        <v>26</v>
      </c>
      <c r="G899" t="s">
        <v>22</v>
      </c>
      <c r="H899">
        <v>5</v>
      </c>
      <c r="I899" s="7">
        <v>0</v>
      </c>
      <c r="J899">
        <v>99.95</v>
      </c>
      <c r="K899" t="str">
        <f>PROPER('Original Data'!K899)</f>
        <v>Cash</v>
      </c>
      <c r="L899" t="s">
        <v>23</v>
      </c>
      <c r="M899" t="str" cm="1">
        <f t="array" ref="M899">_xlfn.IFS(OR('Original Data'!M899=0,'Original Data'!M899="No",'Original Data'!M899=FALSE),"No",OR('Original Data'!M899=1,'Original Data'!M899="Yes",'Original Data'!M899=TRUE),"Yes")</f>
        <v>No</v>
      </c>
    </row>
    <row r="900" spans="1:13" x14ac:dyDescent="0.2">
      <c r="A900">
        <v>899</v>
      </c>
      <c r="B900" t="s">
        <v>42</v>
      </c>
      <c r="C900" s="5">
        <v>44962</v>
      </c>
      <c r="D900" t="s">
        <v>91</v>
      </c>
      <c r="E900" t="s">
        <v>15</v>
      </c>
      <c r="F900" t="s">
        <v>40</v>
      </c>
      <c r="G900" t="s">
        <v>17</v>
      </c>
      <c r="H900">
        <v>3</v>
      </c>
      <c r="I900" s="7">
        <v>0.2</v>
      </c>
      <c r="J900">
        <v>309.60000000000002</v>
      </c>
      <c r="K900" t="str">
        <f>PROPER('Original Data'!K900)</f>
        <v>Cash</v>
      </c>
      <c r="L900" t="s">
        <v>23</v>
      </c>
      <c r="M900" t="str" cm="1">
        <f t="array" ref="M900">_xlfn.IFS(OR('Original Data'!M900=0,'Original Data'!M900="No",'Original Data'!M900=FALSE),"No",OR('Original Data'!M900=1,'Original Data'!M900="Yes",'Original Data'!M900=TRUE),"Yes")</f>
        <v>Yes</v>
      </c>
    </row>
    <row r="901" spans="1:13" x14ac:dyDescent="0.2">
      <c r="A901">
        <v>900</v>
      </c>
      <c r="B901" t="s">
        <v>83</v>
      </c>
      <c r="C901" s="5">
        <v>45167</v>
      </c>
      <c r="D901" t="s">
        <v>84</v>
      </c>
      <c r="E901" t="s">
        <v>48</v>
      </c>
      <c r="F901" t="s">
        <v>26</v>
      </c>
      <c r="G901" t="s">
        <v>22</v>
      </c>
      <c r="H901">
        <v>2</v>
      </c>
      <c r="I901" s="7">
        <v>0</v>
      </c>
      <c r="J901">
        <v>99.9</v>
      </c>
      <c r="K901" t="str">
        <f>PROPER('Original Data'!K901)</f>
        <v>Credit Card</v>
      </c>
      <c r="L901" t="s">
        <v>55</v>
      </c>
      <c r="M901" t="str" cm="1">
        <f t="array" ref="M901">_xlfn.IFS(OR('Original Data'!M901=0,'Original Data'!M901="No",'Original Data'!M901=FALSE),"No",OR('Original Data'!M901=1,'Original Data'!M901="Yes",'Original Data'!M901=TRUE),"Yes")</f>
        <v>No</v>
      </c>
    </row>
    <row r="902" spans="1:13" x14ac:dyDescent="0.2">
      <c r="A902">
        <v>901</v>
      </c>
      <c r="B902" t="s">
        <v>74</v>
      </c>
      <c r="C902" s="5">
        <v>45369</v>
      </c>
      <c r="D902" t="s">
        <v>75</v>
      </c>
      <c r="E902" t="s">
        <v>76</v>
      </c>
      <c r="F902" t="s">
        <v>16</v>
      </c>
      <c r="G902" t="s">
        <v>17</v>
      </c>
      <c r="H902">
        <v>4</v>
      </c>
      <c r="I902" s="7">
        <v>0</v>
      </c>
      <c r="J902">
        <v>179.8</v>
      </c>
      <c r="K902" t="str">
        <f>PROPER('Original Data'!K902)</f>
        <v>Gift Card</v>
      </c>
      <c r="L902" t="s">
        <v>23</v>
      </c>
      <c r="M902" t="str" cm="1">
        <f t="array" ref="M902">_xlfn.IFS(OR('Original Data'!M902=0,'Original Data'!M902="No",'Original Data'!M902=FALSE),"No",OR('Original Data'!M902=1,'Original Data'!M902="Yes",'Original Data'!M902=TRUE),"Yes")</f>
        <v>No</v>
      </c>
    </row>
    <row r="903" spans="1:13" x14ac:dyDescent="0.2">
      <c r="A903">
        <v>902</v>
      </c>
      <c r="B903" t="s">
        <v>64</v>
      </c>
      <c r="C903" s="5">
        <v>45633</v>
      </c>
      <c r="D903" t="s">
        <v>65</v>
      </c>
      <c r="E903" t="s">
        <v>33</v>
      </c>
      <c r="F903" t="s">
        <v>34</v>
      </c>
      <c r="G903" t="s">
        <v>35</v>
      </c>
      <c r="H903">
        <v>1</v>
      </c>
      <c r="I903" s="7">
        <v>0.1</v>
      </c>
      <c r="J903">
        <v>67.459999999999994</v>
      </c>
      <c r="K903" t="str">
        <f>PROPER('Original Data'!K903)</f>
        <v>Debit Card</v>
      </c>
      <c r="L903" t="s">
        <v>63</v>
      </c>
      <c r="M903" t="str" cm="1">
        <f t="array" ref="M903">_xlfn.IFS(OR('Original Data'!M903=0,'Original Data'!M903="No",'Original Data'!M903=FALSE),"No",OR('Original Data'!M903=1,'Original Data'!M903="Yes",'Original Data'!M903=TRUE),"Yes")</f>
        <v>No</v>
      </c>
    </row>
    <row r="904" spans="1:13" x14ac:dyDescent="0.2">
      <c r="A904">
        <v>903</v>
      </c>
      <c r="B904" t="s">
        <v>50</v>
      </c>
      <c r="C904" s="5">
        <v>45410</v>
      </c>
      <c r="D904" t="s">
        <v>51</v>
      </c>
      <c r="E904" t="s">
        <v>15</v>
      </c>
      <c r="F904" t="s">
        <v>26</v>
      </c>
      <c r="G904" t="s">
        <v>22</v>
      </c>
      <c r="H904">
        <v>3</v>
      </c>
      <c r="I904" s="7">
        <v>0</v>
      </c>
      <c r="J904">
        <v>209.85</v>
      </c>
      <c r="K904" t="str">
        <f>PROPER('Original Data'!K904)</f>
        <v>Gift Card</v>
      </c>
      <c r="L904" t="s">
        <v>49</v>
      </c>
      <c r="M904" t="str" cm="1">
        <f t="array" ref="M904">_xlfn.IFS(OR('Original Data'!M904=0,'Original Data'!M904="No",'Original Data'!M904=FALSE),"No",OR('Original Data'!M904=1,'Original Data'!M904="Yes",'Original Data'!M904=TRUE),"Yes")</f>
        <v>No</v>
      </c>
    </row>
    <row r="905" spans="1:13" x14ac:dyDescent="0.2">
      <c r="A905">
        <v>904</v>
      </c>
      <c r="B905" t="s">
        <v>68</v>
      </c>
      <c r="C905" s="5">
        <v>45615</v>
      </c>
      <c r="D905" t="s">
        <v>69</v>
      </c>
      <c r="E905" t="s">
        <v>33</v>
      </c>
      <c r="F905" t="s">
        <v>21</v>
      </c>
      <c r="G905" t="s">
        <v>22</v>
      </c>
      <c r="H905">
        <v>4</v>
      </c>
      <c r="I905" s="7">
        <v>0.15</v>
      </c>
      <c r="J905">
        <v>404.6</v>
      </c>
      <c r="K905" t="str">
        <f>PROPER('Original Data'!K905)</f>
        <v>Debit Card</v>
      </c>
      <c r="L905" t="s">
        <v>30</v>
      </c>
      <c r="M905" t="str" cm="1">
        <f t="array" ref="M905">_xlfn.IFS(OR('Original Data'!M905=0,'Original Data'!M905="No",'Original Data'!M905=FALSE),"No",OR('Original Data'!M905=1,'Original Data'!M905="Yes",'Original Data'!M905=TRUE),"Yes")</f>
        <v>No</v>
      </c>
    </row>
    <row r="906" spans="1:13" x14ac:dyDescent="0.2">
      <c r="A906">
        <v>905</v>
      </c>
      <c r="B906" t="s">
        <v>56</v>
      </c>
      <c r="C906" s="5">
        <v>45567</v>
      </c>
      <c r="D906" t="s">
        <v>57</v>
      </c>
      <c r="E906" t="s">
        <v>48</v>
      </c>
      <c r="F906" t="s">
        <v>44</v>
      </c>
      <c r="H906">
        <v>2</v>
      </c>
      <c r="I906" s="7">
        <v>0</v>
      </c>
      <c r="J906">
        <v>170</v>
      </c>
      <c r="K906" t="s">
        <v>90</v>
      </c>
      <c r="L906" t="s">
        <v>49</v>
      </c>
      <c r="M906" t="str" cm="1">
        <f t="array" ref="M906">_xlfn.IFS(OR('Original Data'!M906=0,'Original Data'!M906="No",'Original Data'!M906=FALSE),"No",OR('Original Data'!M906=1,'Original Data'!M906="Yes",'Original Data'!M906=TRUE),"Yes")</f>
        <v>Yes</v>
      </c>
    </row>
    <row r="907" spans="1:13" x14ac:dyDescent="0.2">
      <c r="A907">
        <v>906</v>
      </c>
      <c r="B907" t="s">
        <v>42</v>
      </c>
      <c r="C907" s="5">
        <v>45033</v>
      </c>
      <c r="D907" t="s">
        <v>91</v>
      </c>
      <c r="E907" t="s">
        <v>15</v>
      </c>
      <c r="G907" t="s">
        <v>25</v>
      </c>
      <c r="H907">
        <v>4</v>
      </c>
      <c r="I907" s="7">
        <v>0</v>
      </c>
      <c r="J907">
        <v>516</v>
      </c>
      <c r="K907" t="s">
        <v>90</v>
      </c>
      <c r="L907" t="s">
        <v>23</v>
      </c>
      <c r="M907" t="str" cm="1">
        <f t="array" ref="M907">_xlfn.IFS(OR('Original Data'!M907=0,'Original Data'!M907="No",'Original Data'!M907=FALSE),"No",OR('Original Data'!M907=1,'Original Data'!M907="Yes",'Original Data'!M907=TRUE),"Yes")</f>
        <v>Yes</v>
      </c>
    </row>
    <row r="908" spans="1:13" x14ac:dyDescent="0.2">
      <c r="A908">
        <v>907</v>
      </c>
      <c r="B908" t="s">
        <v>56</v>
      </c>
      <c r="C908" s="5">
        <v>45286</v>
      </c>
      <c r="D908" t="s">
        <v>57</v>
      </c>
      <c r="E908" t="s">
        <v>48</v>
      </c>
      <c r="F908" t="s">
        <v>40</v>
      </c>
      <c r="G908" t="s">
        <v>17</v>
      </c>
      <c r="H908">
        <v>4</v>
      </c>
      <c r="I908" s="7">
        <v>0.2</v>
      </c>
      <c r="J908">
        <v>272</v>
      </c>
      <c r="K908" t="s">
        <v>90</v>
      </c>
      <c r="L908" t="s">
        <v>63</v>
      </c>
      <c r="M908" t="str" cm="1">
        <f t="array" ref="M908">_xlfn.IFS(OR('Original Data'!M908=0,'Original Data'!M908="No",'Original Data'!M908=FALSE),"No",OR('Original Data'!M908=1,'Original Data'!M908="Yes",'Original Data'!M908=TRUE),"Yes")</f>
        <v>Yes</v>
      </c>
    </row>
    <row r="909" spans="1:13" x14ac:dyDescent="0.2">
      <c r="A909">
        <v>908</v>
      </c>
      <c r="B909" t="s">
        <v>78</v>
      </c>
      <c r="C909" s="5">
        <v>45638</v>
      </c>
      <c r="D909" t="s">
        <v>79</v>
      </c>
      <c r="E909" t="s">
        <v>48</v>
      </c>
      <c r="F909" t="s">
        <v>26</v>
      </c>
      <c r="G909" t="s">
        <v>22</v>
      </c>
      <c r="H909">
        <v>1</v>
      </c>
      <c r="I909" s="7">
        <v>0.25</v>
      </c>
      <c r="J909">
        <v>29.96</v>
      </c>
      <c r="K909" t="str">
        <f>PROPER('Original Data'!K909)</f>
        <v>Credit Card</v>
      </c>
      <c r="M909" t="str" cm="1">
        <f t="array" ref="M909">_xlfn.IFS(OR('Original Data'!M909=0,'Original Data'!M909="No",'Original Data'!M909=FALSE),"No",OR('Original Data'!M909=1,'Original Data'!M909="Yes",'Original Data'!M909=TRUE),"Yes")</f>
        <v>Yes</v>
      </c>
    </row>
    <row r="910" spans="1:13" x14ac:dyDescent="0.2">
      <c r="A910">
        <v>909</v>
      </c>
      <c r="B910" t="s">
        <v>42</v>
      </c>
      <c r="C910" s="5">
        <v>45359</v>
      </c>
      <c r="D910" t="s">
        <v>91</v>
      </c>
      <c r="E910" t="s">
        <v>15</v>
      </c>
      <c r="F910" t="s">
        <v>66</v>
      </c>
      <c r="G910" t="s">
        <v>67</v>
      </c>
      <c r="H910">
        <v>1</v>
      </c>
      <c r="I910" s="7">
        <v>0.1</v>
      </c>
      <c r="J910">
        <v>116.1</v>
      </c>
      <c r="K910" t="str">
        <f>PROPER('Original Data'!K910)</f>
        <v>Credit Card</v>
      </c>
      <c r="L910" t="s">
        <v>41</v>
      </c>
      <c r="M910" t="str" cm="1">
        <f t="array" ref="M910">_xlfn.IFS(OR('Original Data'!M910=0,'Original Data'!M910="No",'Original Data'!M910=FALSE),"No",OR('Original Data'!M910=1,'Original Data'!M910="Yes",'Original Data'!M910=TRUE),"Yes")</f>
        <v>Yes</v>
      </c>
    </row>
    <row r="911" spans="1:13" x14ac:dyDescent="0.2">
      <c r="A911">
        <v>910</v>
      </c>
      <c r="B911" t="s">
        <v>71</v>
      </c>
      <c r="C911" s="5">
        <v>45438</v>
      </c>
      <c r="D911" t="s">
        <v>72</v>
      </c>
      <c r="E911" t="s">
        <v>33</v>
      </c>
      <c r="F911" t="s">
        <v>44</v>
      </c>
      <c r="H911">
        <v>5</v>
      </c>
      <c r="I911" s="7">
        <v>0</v>
      </c>
      <c r="J911">
        <v>299.75</v>
      </c>
      <c r="K911" t="str">
        <f>PROPER('Original Data'!K911)</f>
        <v>Credit Card</v>
      </c>
      <c r="L911" t="s">
        <v>41</v>
      </c>
      <c r="M911" t="str" cm="1">
        <f t="array" ref="M911">_xlfn.IFS(OR('Original Data'!M911=0,'Original Data'!M911="No",'Original Data'!M911=FALSE),"No",OR('Original Data'!M911=1,'Original Data'!M911="Yes",'Original Data'!M911=TRUE),"Yes")</f>
        <v>Yes</v>
      </c>
    </row>
    <row r="912" spans="1:13" x14ac:dyDescent="0.2">
      <c r="A912">
        <v>911</v>
      </c>
      <c r="B912" t="s">
        <v>83</v>
      </c>
      <c r="C912" s="5">
        <v>45015</v>
      </c>
      <c r="D912" t="s">
        <v>84</v>
      </c>
      <c r="E912" t="s">
        <v>48</v>
      </c>
      <c r="F912" t="s">
        <v>40</v>
      </c>
      <c r="G912" t="s">
        <v>17</v>
      </c>
      <c r="H912">
        <v>1</v>
      </c>
      <c r="I912" s="7">
        <v>0.2</v>
      </c>
      <c r="J912">
        <v>39.96</v>
      </c>
      <c r="K912" t="str">
        <f>PROPER('Original Data'!K912)</f>
        <v>Gift Card</v>
      </c>
      <c r="L912" t="s">
        <v>23</v>
      </c>
      <c r="M912" t="str" cm="1">
        <f t="array" ref="M912">_xlfn.IFS(OR('Original Data'!M912=0,'Original Data'!M912="No",'Original Data'!M912=FALSE),"No",OR('Original Data'!M912=1,'Original Data'!M912="Yes",'Original Data'!M912=TRUE),"Yes")</f>
        <v>No</v>
      </c>
    </row>
    <row r="913" spans="1:13" x14ac:dyDescent="0.2">
      <c r="A913">
        <v>912</v>
      </c>
      <c r="B913" t="s">
        <v>19</v>
      </c>
      <c r="C913" s="5">
        <v>45244</v>
      </c>
      <c r="D913" t="s">
        <v>20</v>
      </c>
      <c r="E913" t="s">
        <v>15</v>
      </c>
      <c r="F913" t="s">
        <v>40</v>
      </c>
      <c r="G913" t="s">
        <v>17</v>
      </c>
      <c r="H913">
        <v>5</v>
      </c>
      <c r="I913" s="7">
        <v>0.25</v>
      </c>
      <c r="J913">
        <v>337.31</v>
      </c>
      <c r="K913" t="str">
        <f>PROPER('Original Data'!K913)</f>
        <v>Cash</v>
      </c>
      <c r="L913" t="s">
        <v>23</v>
      </c>
      <c r="M913" t="str" cm="1">
        <f t="array" ref="M913">_xlfn.IFS(OR('Original Data'!M913=0,'Original Data'!M913="No",'Original Data'!M913=FALSE),"No",OR('Original Data'!M913=1,'Original Data'!M913="Yes",'Original Data'!M913=TRUE),"Yes")</f>
        <v>Yes</v>
      </c>
    </row>
    <row r="914" spans="1:13" x14ac:dyDescent="0.2">
      <c r="A914">
        <v>913</v>
      </c>
      <c r="B914" t="s">
        <v>42</v>
      </c>
      <c r="C914" s="5">
        <v>45640</v>
      </c>
      <c r="D914" t="s">
        <v>91</v>
      </c>
      <c r="E914" t="s">
        <v>15</v>
      </c>
      <c r="F914" t="s">
        <v>44</v>
      </c>
      <c r="H914">
        <v>5</v>
      </c>
      <c r="I914" s="7">
        <v>0</v>
      </c>
      <c r="J914">
        <v>645</v>
      </c>
      <c r="K914" t="str">
        <f>PROPER('Original Data'!K914)</f>
        <v>Cash</v>
      </c>
      <c r="L914" t="s">
        <v>41</v>
      </c>
      <c r="M914" t="str" cm="1">
        <f t="array" ref="M914">_xlfn.IFS(OR('Original Data'!M914=0,'Original Data'!M914="No",'Original Data'!M914=FALSE),"No",OR('Original Data'!M914=1,'Original Data'!M914="Yes",'Original Data'!M914=TRUE),"Yes")</f>
        <v>Yes</v>
      </c>
    </row>
    <row r="915" spans="1:13" x14ac:dyDescent="0.2">
      <c r="A915">
        <v>914</v>
      </c>
      <c r="B915" t="s">
        <v>58</v>
      </c>
      <c r="C915" s="5">
        <v>45630</v>
      </c>
      <c r="D915" t="s">
        <v>59</v>
      </c>
      <c r="E915" t="s">
        <v>15</v>
      </c>
      <c r="F915" t="s">
        <v>66</v>
      </c>
      <c r="G915" t="s">
        <v>67</v>
      </c>
      <c r="H915">
        <v>3</v>
      </c>
      <c r="I915" s="7">
        <v>0.15</v>
      </c>
      <c r="J915">
        <v>152.87</v>
      </c>
      <c r="K915" t="str">
        <f>PROPER('Original Data'!K915)</f>
        <v>Credit Card</v>
      </c>
      <c r="L915" t="s">
        <v>28</v>
      </c>
      <c r="M915" t="str" cm="1">
        <f t="array" ref="M915">_xlfn.IFS(OR('Original Data'!M915=0,'Original Data'!M915="No",'Original Data'!M915=FALSE),"No",OR('Original Data'!M915=1,'Original Data'!M915="Yes",'Original Data'!M915=TRUE),"Yes")</f>
        <v>Yes</v>
      </c>
    </row>
    <row r="916" spans="1:13" x14ac:dyDescent="0.2">
      <c r="A916">
        <v>915</v>
      </c>
      <c r="B916" t="s">
        <v>74</v>
      </c>
      <c r="C916" s="5">
        <v>45275</v>
      </c>
      <c r="D916" t="s">
        <v>75</v>
      </c>
      <c r="E916" t="s">
        <v>76</v>
      </c>
      <c r="F916" t="s">
        <v>66</v>
      </c>
      <c r="G916" t="s">
        <v>67</v>
      </c>
      <c r="H916">
        <v>1</v>
      </c>
      <c r="I916" s="7">
        <v>0.1</v>
      </c>
      <c r="J916">
        <v>40.46</v>
      </c>
      <c r="K916" t="str">
        <f>PROPER('Original Data'!K916)</f>
        <v>Debit Card</v>
      </c>
      <c r="L916" t="s">
        <v>45</v>
      </c>
      <c r="M916" t="str" cm="1">
        <f t="array" ref="M916">_xlfn.IFS(OR('Original Data'!M916=0,'Original Data'!M916="No",'Original Data'!M916=FALSE),"No",OR('Original Data'!M916=1,'Original Data'!M916="Yes",'Original Data'!M916=TRUE),"Yes")</f>
        <v>No</v>
      </c>
    </row>
    <row r="917" spans="1:13" x14ac:dyDescent="0.2">
      <c r="A917">
        <v>916</v>
      </c>
      <c r="B917" t="s">
        <v>24</v>
      </c>
      <c r="C917" s="5">
        <v>45652</v>
      </c>
      <c r="D917" t="s">
        <v>87</v>
      </c>
      <c r="E917" t="s">
        <v>39</v>
      </c>
      <c r="F917" t="s">
        <v>26</v>
      </c>
      <c r="G917" t="s">
        <v>22</v>
      </c>
      <c r="H917">
        <v>4</v>
      </c>
      <c r="I917" s="7">
        <v>0.15</v>
      </c>
      <c r="J917">
        <v>152.83000000000001</v>
      </c>
      <c r="K917" t="str">
        <f>PROPER('Original Data'!K917)</f>
        <v>Credit Card</v>
      </c>
      <c r="L917" t="s">
        <v>28</v>
      </c>
      <c r="M917" t="str" cm="1">
        <f t="array" ref="M917">_xlfn.IFS(OR('Original Data'!M917=0,'Original Data'!M917="No",'Original Data'!M917=FALSE),"No",OR('Original Data'!M917=1,'Original Data'!M917="Yes",'Original Data'!M917=TRUE),"Yes")</f>
        <v>Yes</v>
      </c>
    </row>
    <row r="918" spans="1:13" x14ac:dyDescent="0.2">
      <c r="A918">
        <v>917</v>
      </c>
      <c r="B918" t="s">
        <v>64</v>
      </c>
      <c r="C918" s="5">
        <v>45176</v>
      </c>
      <c r="D918" t="s">
        <v>65</v>
      </c>
      <c r="E918" t="s">
        <v>33</v>
      </c>
      <c r="F918" t="s">
        <v>16</v>
      </c>
      <c r="G918" t="s">
        <v>17</v>
      </c>
      <c r="H918">
        <v>3</v>
      </c>
      <c r="I918" s="7">
        <v>0.25</v>
      </c>
      <c r="J918">
        <v>168.64</v>
      </c>
      <c r="K918" t="s">
        <v>90</v>
      </c>
      <c r="L918" t="s">
        <v>28</v>
      </c>
      <c r="M918" t="str" cm="1">
        <f t="array" ref="M918">_xlfn.IFS(OR('Original Data'!M918=0,'Original Data'!M918="No",'Original Data'!M918=FALSE),"No",OR('Original Data'!M918=1,'Original Data'!M918="Yes",'Original Data'!M918=TRUE),"Yes")</f>
        <v>No</v>
      </c>
    </row>
    <row r="919" spans="1:13" x14ac:dyDescent="0.2">
      <c r="A919">
        <v>918</v>
      </c>
      <c r="B919" t="s">
        <v>31</v>
      </c>
      <c r="C919" s="5">
        <v>44967</v>
      </c>
      <c r="D919" t="s">
        <v>32</v>
      </c>
      <c r="E919" t="s">
        <v>33</v>
      </c>
      <c r="F919" t="s">
        <v>16</v>
      </c>
      <c r="G919" t="s">
        <v>17</v>
      </c>
      <c r="H919">
        <v>5</v>
      </c>
      <c r="I919" s="7">
        <v>0.2</v>
      </c>
      <c r="J919">
        <v>319.8</v>
      </c>
      <c r="K919" t="s">
        <v>90</v>
      </c>
      <c r="M919" t="str" cm="1">
        <f t="array" ref="M919">_xlfn.IFS(OR('Original Data'!M919=0,'Original Data'!M919="No",'Original Data'!M919=FALSE),"No",OR('Original Data'!M919=1,'Original Data'!M919="Yes",'Original Data'!M919=TRUE),"Yes")</f>
        <v>No</v>
      </c>
    </row>
    <row r="920" spans="1:13" x14ac:dyDescent="0.2">
      <c r="A920">
        <v>919</v>
      </c>
      <c r="B920" t="s">
        <v>81</v>
      </c>
      <c r="C920" s="5">
        <v>45254</v>
      </c>
      <c r="D920" t="s">
        <v>82</v>
      </c>
      <c r="E920" t="s">
        <v>15</v>
      </c>
      <c r="F920" t="s">
        <v>53</v>
      </c>
      <c r="G920" t="s">
        <v>54</v>
      </c>
      <c r="H920">
        <v>5</v>
      </c>
      <c r="I920" s="7">
        <v>0</v>
      </c>
      <c r="J920">
        <v>399.75</v>
      </c>
      <c r="K920" t="str">
        <f>PROPER('Original Data'!K920)</f>
        <v>Debit Card</v>
      </c>
      <c r="L920" t="s">
        <v>30</v>
      </c>
      <c r="M920" t="str" cm="1">
        <f t="array" ref="M920">_xlfn.IFS(OR('Original Data'!M920=0,'Original Data'!M920="No",'Original Data'!M920=FALSE),"No",OR('Original Data'!M920=1,'Original Data'!M920="Yes",'Original Data'!M920=TRUE),"Yes")</f>
        <v>Yes</v>
      </c>
    </row>
    <row r="921" spans="1:13" x14ac:dyDescent="0.2">
      <c r="A921">
        <v>920</v>
      </c>
      <c r="B921" t="s">
        <v>61</v>
      </c>
      <c r="C921" s="5">
        <v>45452</v>
      </c>
      <c r="D921" t="s">
        <v>62</v>
      </c>
      <c r="E921" t="s">
        <v>33</v>
      </c>
      <c r="F921" t="s">
        <v>16</v>
      </c>
      <c r="G921" t="s">
        <v>17</v>
      </c>
      <c r="H921">
        <v>2</v>
      </c>
      <c r="I921" s="7">
        <v>0</v>
      </c>
      <c r="J921">
        <v>69.98</v>
      </c>
      <c r="K921" t="str">
        <f>PROPER('Original Data'!K921)</f>
        <v>Gift Card</v>
      </c>
      <c r="L921" t="s">
        <v>55</v>
      </c>
      <c r="M921" t="str" cm="1">
        <f t="array" ref="M921">_xlfn.IFS(OR('Original Data'!M921=0,'Original Data'!M921="No",'Original Data'!M921=FALSE),"No",OR('Original Data'!M921=1,'Original Data'!M921="Yes",'Original Data'!M921=TRUE),"Yes")</f>
        <v>No</v>
      </c>
    </row>
    <row r="922" spans="1:13" x14ac:dyDescent="0.2">
      <c r="A922">
        <v>921</v>
      </c>
      <c r="B922" t="s">
        <v>58</v>
      </c>
      <c r="C922" s="5">
        <v>45614</v>
      </c>
      <c r="D922" t="s">
        <v>59</v>
      </c>
      <c r="E922" t="s">
        <v>15</v>
      </c>
      <c r="F922" t="s">
        <v>21</v>
      </c>
      <c r="G922" t="s">
        <v>22</v>
      </c>
      <c r="H922">
        <v>3</v>
      </c>
      <c r="I922" s="7">
        <v>0.2</v>
      </c>
      <c r="J922">
        <v>143.88</v>
      </c>
      <c r="K922" t="str">
        <f>PROPER('Original Data'!K922)</f>
        <v>Debit Card</v>
      </c>
      <c r="L922" t="s">
        <v>23</v>
      </c>
      <c r="M922" t="str" cm="1">
        <f t="array" ref="M922">_xlfn.IFS(OR('Original Data'!M922=0,'Original Data'!M922="No",'Original Data'!M922=FALSE),"No",OR('Original Data'!M922=1,'Original Data'!M922="Yes",'Original Data'!M922=TRUE),"Yes")</f>
        <v>Yes</v>
      </c>
    </row>
    <row r="923" spans="1:13" x14ac:dyDescent="0.2">
      <c r="A923">
        <v>922</v>
      </c>
      <c r="B923" t="s">
        <v>31</v>
      </c>
      <c r="C923" s="5">
        <v>45370</v>
      </c>
      <c r="D923" t="s">
        <v>32</v>
      </c>
      <c r="E923" t="s">
        <v>33</v>
      </c>
      <c r="G923" t="s">
        <v>25</v>
      </c>
      <c r="H923">
        <v>2</v>
      </c>
      <c r="I923" s="7">
        <v>0.1</v>
      </c>
      <c r="J923">
        <v>143.91</v>
      </c>
      <c r="K923" t="str">
        <f>PROPER('Original Data'!K923)</f>
        <v>Credit Card</v>
      </c>
      <c r="L923" t="s">
        <v>41</v>
      </c>
      <c r="M923" t="str" cm="1">
        <f t="array" ref="M923">_xlfn.IFS(OR('Original Data'!M923=0,'Original Data'!M923="No",'Original Data'!M923=FALSE),"No",OR('Original Data'!M923=1,'Original Data'!M923="Yes",'Original Data'!M923=TRUE),"Yes")</f>
        <v>No</v>
      </c>
    </row>
    <row r="924" spans="1:13" x14ac:dyDescent="0.2">
      <c r="A924">
        <v>923</v>
      </c>
      <c r="B924" t="s">
        <v>64</v>
      </c>
      <c r="C924" s="5">
        <v>45546</v>
      </c>
      <c r="D924" t="s">
        <v>65</v>
      </c>
      <c r="E924" t="s">
        <v>33</v>
      </c>
      <c r="F924" t="s">
        <v>21</v>
      </c>
      <c r="G924" t="s">
        <v>22</v>
      </c>
      <c r="H924">
        <v>4</v>
      </c>
      <c r="I924" s="7">
        <v>0.15</v>
      </c>
      <c r="J924">
        <v>254.83</v>
      </c>
      <c r="K924" t="s">
        <v>90</v>
      </c>
      <c r="L924" t="s">
        <v>30</v>
      </c>
      <c r="M924" t="str" cm="1">
        <f t="array" ref="M924">_xlfn.IFS(OR('Original Data'!M924=0,'Original Data'!M924="No",'Original Data'!M924=FALSE),"No",OR('Original Data'!M924=1,'Original Data'!M924="Yes",'Original Data'!M924=TRUE),"Yes")</f>
        <v>No</v>
      </c>
    </row>
    <row r="925" spans="1:13" x14ac:dyDescent="0.2">
      <c r="A925">
        <v>924</v>
      </c>
      <c r="B925" t="s">
        <v>83</v>
      </c>
      <c r="C925" s="5">
        <v>45472</v>
      </c>
      <c r="D925" t="s">
        <v>84</v>
      </c>
      <c r="E925" t="s">
        <v>48</v>
      </c>
      <c r="F925" t="s">
        <v>66</v>
      </c>
      <c r="G925" t="s">
        <v>67</v>
      </c>
      <c r="H925">
        <v>3</v>
      </c>
      <c r="I925" s="7">
        <v>0</v>
      </c>
      <c r="J925">
        <v>149.85</v>
      </c>
      <c r="K925" t="str">
        <f>PROPER('Original Data'!K925)</f>
        <v>Cash</v>
      </c>
      <c r="L925" t="s">
        <v>41</v>
      </c>
      <c r="M925" t="str" cm="1">
        <f t="array" ref="M925">_xlfn.IFS(OR('Original Data'!M925=0,'Original Data'!M925="No",'Original Data'!M925=FALSE),"No",OR('Original Data'!M925=1,'Original Data'!M925="Yes",'Original Data'!M925=TRUE),"Yes")</f>
        <v>No</v>
      </c>
    </row>
    <row r="926" spans="1:13" x14ac:dyDescent="0.2">
      <c r="A926">
        <v>925</v>
      </c>
      <c r="B926" t="s">
        <v>19</v>
      </c>
      <c r="C926" s="5">
        <v>45123</v>
      </c>
      <c r="D926" t="s">
        <v>20</v>
      </c>
      <c r="E926" t="s">
        <v>15</v>
      </c>
      <c r="F926" t="s">
        <v>40</v>
      </c>
      <c r="G926" t="s">
        <v>17</v>
      </c>
      <c r="H926">
        <v>5</v>
      </c>
      <c r="I926" s="7">
        <v>0.05</v>
      </c>
      <c r="J926">
        <v>427.26</v>
      </c>
      <c r="K926" t="str">
        <f>PROPER('Original Data'!K926)</f>
        <v>Cash</v>
      </c>
      <c r="L926" t="s">
        <v>49</v>
      </c>
      <c r="M926" t="str" cm="1">
        <f t="array" ref="M926">_xlfn.IFS(OR('Original Data'!M926=0,'Original Data'!M926="No",'Original Data'!M926=FALSE),"No",OR('Original Data'!M926=1,'Original Data'!M926="Yes",'Original Data'!M926=TRUE),"Yes")</f>
        <v>Yes</v>
      </c>
    </row>
    <row r="927" spans="1:13" x14ac:dyDescent="0.2">
      <c r="A927">
        <v>926</v>
      </c>
      <c r="B927" t="s">
        <v>37</v>
      </c>
      <c r="C927" s="5">
        <v>45522</v>
      </c>
      <c r="D927" t="s">
        <v>38</v>
      </c>
      <c r="E927" t="s">
        <v>39</v>
      </c>
      <c r="F927" t="s">
        <v>53</v>
      </c>
      <c r="G927" t="s">
        <v>54</v>
      </c>
      <c r="H927">
        <v>3</v>
      </c>
      <c r="I927" s="7">
        <v>0.15</v>
      </c>
      <c r="J927">
        <v>165.62</v>
      </c>
      <c r="K927" t="str">
        <f>PROPER('Original Data'!K927)</f>
        <v>Gift Card</v>
      </c>
      <c r="L927" t="s">
        <v>63</v>
      </c>
      <c r="M927" t="str" cm="1">
        <f t="array" ref="M927">_xlfn.IFS(OR('Original Data'!M927=0,'Original Data'!M927="No",'Original Data'!M927=FALSE),"No",OR('Original Data'!M927=1,'Original Data'!M927="Yes",'Original Data'!M927=TRUE),"Yes")</f>
        <v>Yes</v>
      </c>
    </row>
    <row r="928" spans="1:13" x14ac:dyDescent="0.2">
      <c r="A928">
        <v>927</v>
      </c>
      <c r="B928" t="s">
        <v>68</v>
      </c>
      <c r="C928" s="5">
        <v>45204</v>
      </c>
      <c r="D928" t="s">
        <v>69</v>
      </c>
      <c r="E928" t="s">
        <v>33</v>
      </c>
      <c r="F928" t="s">
        <v>44</v>
      </c>
      <c r="H928">
        <v>2</v>
      </c>
      <c r="I928" s="7">
        <v>0.2</v>
      </c>
      <c r="J928">
        <v>190.4</v>
      </c>
      <c r="K928" t="str">
        <f>PROPER('Original Data'!K928)</f>
        <v>Apple Pay</v>
      </c>
      <c r="L928" t="s">
        <v>41</v>
      </c>
      <c r="M928" t="str" cm="1">
        <f t="array" ref="M928">_xlfn.IFS(OR('Original Data'!M928=0,'Original Data'!M928="No",'Original Data'!M928=FALSE),"No",OR('Original Data'!M928=1,'Original Data'!M928="Yes",'Original Data'!M928=TRUE),"Yes")</f>
        <v>No</v>
      </c>
    </row>
    <row r="929" spans="1:13" x14ac:dyDescent="0.2">
      <c r="A929">
        <v>928</v>
      </c>
      <c r="B929" t="s">
        <v>37</v>
      </c>
      <c r="C929" s="5">
        <v>45524</v>
      </c>
      <c r="D929" t="s">
        <v>38</v>
      </c>
      <c r="E929" t="s">
        <v>39</v>
      </c>
      <c r="F929" t="s">
        <v>16</v>
      </c>
      <c r="G929" t="s">
        <v>17</v>
      </c>
      <c r="H929">
        <v>3</v>
      </c>
      <c r="I929" s="7">
        <v>0.25</v>
      </c>
      <c r="J929">
        <v>146.13999999999999</v>
      </c>
      <c r="K929" t="s">
        <v>90</v>
      </c>
      <c r="L929" t="s">
        <v>41</v>
      </c>
      <c r="M929" t="str" cm="1">
        <f t="array" ref="M929">_xlfn.IFS(OR('Original Data'!M929=0,'Original Data'!M929="No",'Original Data'!M929=FALSE),"No",OR('Original Data'!M929=1,'Original Data'!M929="Yes",'Original Data'!M929=TRUE),"Yes")</f>
        <v>Yes</v>
      </c>
    </row>
    <row r="930" spans="1:13" x14ac:dyDescent="0.2">
      <c r="A930">
        <v>929</v>
      </c>
      <c r="B930" t="s">
        <v>46</v>
      </c>
      <c r="C930" s="5">
        <v>44982</v>
      </c>
      <c r="D930" t="s">
        <v>47</v>
      </c>
      <c r="E930" t="s">
        <v>48</v>
      </c>
      <c r="F930" t="s">
        <v>40</v>
      </c>
      <c r="G930" t="s">
        <v>17</v>
      </c>
      <c r="H930">
        <v>2</v>
      </c>
      <c r="I930" s="7">
        <v>0</v>
      </c>
      <c r="J930">
        <v>99.9</v>
      </c>
      <c r="K930" t="str">
        <f>PROPER('Original Data'!K930)</f>
        <v>Cash</v>
      </c>
      <c r="L930" t="s">
        <v>55</v>
      </c>
      <c r="M930" t="str" cm="1">
        <f t="array" ref="M930">_xlfn.IFS(OR('Original Data'!M930=0,'Original Data'!M930="No",'Original Data'!M930=FALSE),"No",OR('Original Data'!M930=1,'Original Data'!M930="Yes",'Original Data'!M930=TRUE),"Yes")</f>
        <v>No</v>
      </c>
    </row>
    <row r="931" spans="1:13" x14ac:dyDescent="0.2">
      <c r="A931">
        <v>930</v>
      </c>
      <c r="B931" t="s">
        <v>13</v>
      </c>
      <c r="C931" s="5">
        <v>45367</v>
      </c>
      <c r="D931" t="s">
        <v>14</v>
      </c>
      <c r="E931" t="s">
        <v>15</v>
      </c>
      <c r="F931" t="s">
        <v>26</v>
      </c>
      <c r="G931" t="s">
        <v>22</v>
      </c>
      <c r="H931">
        <v>1</v>
      </c>
      <c r="I931" s="7">
        <v>0.15</v>
      </c>
      <c r="J931">
        <v>16.989999999999998</v>
      </c>
      <c r="K931" t="str">
        <f>PROPER('Original Data'!K931)</f>
        <v>Cash</v>
      </c>
      <c r="L931" t="s">
        <v>30</v>
      </c>
      <c r="M931" t="str" cm="1">
        <f t="array" ref="M931">_xlfn.IFS(OR('Original Data'!M931=0,'Original Data'!M931="No",'Original Data'!M931=FALSE),"No",OR('Original Data'!M931=1,'Original Data'!M931="Yes",'Original Data'!M931=TRUE),"Yes")</f>
        <v>No</v>
      </c>
    </row>
    <row r="932" spans="1:13" x14ac:dyDescent="0.2">
      <c r="A932">
        <v>931</v>
      </c>
      <c r="B932" t="s">
        <v>19</v>
      </c>
      <c r="C932" s="5">
        <v>45558</v>
      </c>
      <c r="D932" t="s">
        <v>20</v>
      </c>
      <c r="E932" t="s">
        <v>15</v>
      </c>
      <c r="F932" t="s">
        <v>40</v>
      </c>
      <c r="G932" t="s">
        <v>17</v>
      </c>
      <c r="H932">
        <v>2</v>
      </c>
      <c r="I932" s="7">
        <v>0.2</v>
      </c>
      <c r="J932">
        <v>143.91999999999999</v>
      </c>
      <c r="K932" t="s">
        <v>90</v>
      </c>
      <c r="L932" t="s">
        <v>63</v>
      </c>
      <c r="M932" t="str" cm="1">
        <f t="array" ref="M932">_xlfn.IFS(OR('Original Data'!M932=0,'Original Data'!M932="No",'Original Data'!M932=FALSE),"No",OR('Original Data'!M932=1,'Original Data'!M932="Yes",'Original Data'!M932=TRUE),"Yes")</f>
        <v>Yes</v>
      </c>
    </row>
    <row r="933" spans="1:13" x14ac:dyDescent="0.2">
      <c r="A933">
        <v>932</v>
      </c>
      <c r="B933" t="s">
        <v>19</v>
      </c>
      <c r="C933" s="5">
        <v>45152</v>
      </c>
      <c r="D933" t="s">
        <v>20</v>
      </c>
      <c r="E933" t="s">
        <v>15</v>
      </c>
      <c r="F933" t="s">
        <v>21</v>
      </c>
      <c r="G933" t="s">
        <v>22</v>
      </c>
      <c r="H933">
        <v>2</v>
      </c>
      <c r="I933" s="7">
        <v>0.25</v>
      </c>
      <c r="J933">
        <v>134.93</v>
      </c>
      <c r="K933" t="str">
        <f>PROPER('Original Data'!K933)</f>
        <v>Debit Card</v>
      </c>
      <c r="L933" t="s">
        <v>45</v>
      </c>
      <c r="M933" t="str" cm="1">
        <f t="array" ref="M933">_xlfn.IFS(OR('Original Data'!M933=0,'Original Data'!M933="No",'Original Data'!M933=FALSE),"No",OR('Original Data'!M933=1,'Original Data'!M933="Yes",'Original Data'!M933=TRUE),"Yes")</f>
        <v>Yes</v>
      </c>
    </row>
    <row r="934" spans="1:13" x14ac:dyDescent="0.2">
      <c r="A934">
        <v>933</v>
      </c>
      <c r="B934" t="s">
        <v>85</v>
      </c>
      <c r="C934" s="5">
        <v>45320</v>
      </c>
      <c r="D934" t="s">
        <v>86</v>
      </c>
      <c r="E934" t="s">
        <v>76</v>
      </c>
      <c r="F934" t="s">
        <v>16</v>
      </c>
      <c r="G934" t="s">
        <v>17</v>
      </c>
      <c r="H934">
        <v>4</v>
      </c>
      <c r="I934" s="7">
        <v>0.25</v>
      </c>
      <c r="J934">
        <v>269.85000000000002</v>
      </c>
      <c r="K934" t="str">
        <f>PROPER('Original Data'!K934)</f>
        <v>Apple Pay</v>
      </c>
      <c r="L934" t="s">
        <v>45</v>
      </c>
      <c r="M934" t="str" cm="1">
        <f t="array" ref="M934">_xlfn.IFS(OR('Original Data'!M934=0,'Original Data'!M934="No",'Original Data'!M934=FALSE),"No",OR('Original Data'!M934=1,'Original Data'!M934="Yes",'Original Data'!M934=TRUE),"Yes")</f>
        <v>Yes</v>
      </c>
    </row>
    <row r="935" spans="1:13" x14ac:dyDescent="0.2">
      <c r="A935">
        <v>934</v>
      </c>
      <c r="B935" t="s">
        <v>88</v>
      </c>
      <c r="C935" s="5">
        <v>45548</v>
      </c>
      <c r="D935" t="s">
        <v>89</v>
      </c>
      <c r="E935" t="s">
        <v>33</v>
      </c>
      <c r="F935" t="s">
        <v>40</v>
      </c>
      <c r="G935" t="s">
        <v>17</v>
      </c>
      <c r="H935">
        <v>1</v>
      </c>
      <c r="I935" s="7">
        <v>0.25</v>
      </c>
      <c r="J935">
        <v>148.5</v>
      </c>
      <c r="K935" t="str">
        <f>PROPER('Original Data'!K935)</f>
        <v>Gift Card</v>
      </c>
      <c r="L935" t="s">
        <v>28</v>
      </c>
      <c r="M935" t="str" cm="1">
        <f t="array" ref="M935">_xlfn.IFS(OR('Original Data'!M935=0,'Original Data'!M935="No",'Original Data'!M935=FALSE),"No",OR('Original Data'!M935=1,'Original Data'!M935="Yes",'Original Data'!M935=TRUE),"Yes")</f>
        <v>No</v>
      </c>
    </row>
    <row r="936" spans="1:13" x14ac:dyDescent="0.2">
      <c r="A936">
        <v>935</v>
      </c>
      <c r="B936" t="s">
        <v>64</v>
      </c>
      <c r="C936" s="5">
        <v>45541</v>
      </c>
      <c r="D936" t="s">
        <v>65</v>
      </c>
      <c r="E936" t="s">
        <v>33</v>
      </c>
      <c r="F936" t="s">
        <v>21</v>
      </c>
      <c r="G936" t="s">
        <v>22</v>
      </c>
      <c r="H936">
        <v>2</v>
      </c>
      <c r="I936" s="7">
        <v>0.1</v>
      </c>
      <c r="J936">
        <v>134.91</v>
      </c>
      <c r="K936" t="str">
        <f>PROPER('Original Data'!K936)</f>
        <v>Gift Card</v>
      </c>
      <c r="M936" t="str" cm="1">
        <f t="array" ref="M936">_xlfn.IFS(OR('Original Data'!M936=0,'Original Data'!M936="No",'Original Data'!M936=FALSE),"No",OR('Original Data'!M936=1,'Original Data'!M936="Yes",'Original Data'!M936=TRUE),"Yes")</f>
        <v>No</v>
      </c>
    </row>
    <row r="937" spans="1:13" x14ac:dyDescent="0.2">
      <c r="A937">
        <v>936</v>
      </c>
      <c r="B937" t="s">
        <v>74</v>
      </c>
      <c r="C937" s="5">
        <v>45383</v>
      </c>
      <c r="D937" t="s">
        <v>75</v>
      </c>
      <c r="E937" t="s">
        <v>76</v>
      </c>
      <c r="F937" t="s">
        <v>40</v>
      </c>
      <c r="G937" t="s">
        <v>17</v>
      </c>
      <c r="H937">
        <v>1</v>
      </c>
      <c r="I937" s="7">
        <v>0.25</v>
      </c>
      <c r="J937">
        <v>33.71</v>
      </c>
      <c r="K937" t="str">
        <f>PROPER('Original Data'!K937)</f>
        <v>Apple Pay</v>
      </c>
      <c r="L937" t="s">
        <v>28</v>
      </c>
      <c r="M937" t="str" cm="1">
        <f t="array" ref="M937">_xlfn.IFS(OR('Original Data'!M937=0,'Original Data'!M937="No",'Original Data'!M937=FALSE),"No",OR('Original Data'!M937=1,'Original Data'!M937="Yes",'Original Data'!M937=TRUE),"Yes")</f>
        <v>No</v>
      </c>
    </row>
    <row r="938" spans="1:13" x14ac:dyDescent="0.2">
      <c r="A938">
        <v>937</v>
      </c>
      <c r="B938" t="s">
        <v>58</v>
      </c>
      <c r="C938" s="5">
        <v>45019</v>
      </c>
      <c r="D938" t="str">
        <f>VLOOKUP(B938,'Original Data'!B:D,3,FALSE)</f>
        <v>Slim Chino Pants</v>
      </c>
      <c r="E938" t="str">
        <f>_xlfn.XLOOKUP('Cleaned Data'!B97,'Original Data'!B:B,'Original Data'!E:E)</f>
        <v>Old Navy</v>
      </c>
      <c r="F938" t="s">
        <v>34</v>
      </c>
      <c r="G938" t="s">
        <v>35</v>
      </c>
      <c r="H938">
        <v>4</v>
      </c>
      <c r="I938" s="7">
        <v>0.15</v>
      </c>
      <c r="J938">
        <v>203.83</v>
      </c>
      <c r="K938" t="str">
        <f>PROPER('Original Data'!K938)</f>
        <v>Debit Card</v>
      </c>
      <c r="L938" t="s">
        <v>23</v>
      </c>
      <c r="M938" t="s">
        <v>92</v>
      </c>
    </row>
    <row r="939" spans="1:13" x14ac:dyDescent="0.2">
      <c r="A939">
        <v>938</v>
      </c>
      <c r="B939" t="s">
        <v>61</v>
      </c>
      <c r="C939" s="5">
        <v>45346</v>
      </c>
      <c r="D939" t="s">
        <v>62</v>
      </c>
      <c r="E939" t="s">
        <v>33</v>
      </c>
      <c r="F939" t="s">
        <v>53</v>
      </c>
      <c r="G939" t="s">
        <v>54</v>
      </c>
      <c r="H939">
        <v>4</v>
      </c>
      <c r="I939" s="7">
        <v>0.1</v>
      </c>
      <c r="J939">
        <v>125.96</v>
      </c>
      <c r="K939" t="str">
        <f>PROPER('Original Data'!K939)</f>
        <v>Debit Card</v>
      </c>
      <c r="L939" t="s">
        <v>45</v>
      </c>
      <c r="M939" t="str" cm="1">
        <f t="array" ref="M939">_xlfn.IFS(OR('Original Data'!M939=0,'Original Data'!M939="No",'Original Data'!M939=FALSE),"No",OR('Original Data'!M939=1,'Original Data'!M939="Yes",'Original Data'!M939=TRUE),"Yes")</f>
        <v>No</v>
      </c>
    </row>
    <row r="940" spans="1:13" x14ac:dyDescent="0.2">
      <c r="A940">
        <v>939</v>
      </c>
      <c r="B940" t="s">
        <v>50</v>
      </c>
      <c r="C940" s="5">
        <v>45168</v>
      </c>
      <c r="D940" t="s">
        <v>51</v>
      </c>
      <c r="E940" t="s">
        <v>15</v>
      </c>
      <c r="F940" t="s">
        <v>66</v>
      </c>
      <c r="G940" t="s">
        <v>67</v>
      </c>
      <c r="H940">
        <v>5</v>
      </c>
      <c r="I940" s="7">
        <v>0.25</v>
      </c>
      <c r="J940">
        <v>262.31</v>
      </c>
      <c r="K940" t="str">
        <f>PROPER('Original Data'!K940)</f>
        <v>Debit Card</v>
      </c>
      <c r="L940" t="s">
        <v>28</v>
      </c>
      <c r="M940" t="str" cm="1">
        <f t="array" ref="M940">_xlfn.IFS(OR('Original Data'!M940=0,'Original Data'!M940="No",'Original Data'!M940=FALSE),"No",OR('Original Data'!M940=1,'Original Data'!M940="Yes",'Original Data'!M940=TRUE),"Yes")</f>
        <v>No</v>
      </c>
    </row>
    <row r="941" spans="1:13" x14ac:dyDescent="0.2">
      <c r="A941">
        <v>940</v>
      </c>
      <c r="B941" t="s">
        <v>56</v>
      </c>
      <c r="C941" s="5">
        <v>45118</v>
      </c>
      <c r="D941" t="s">
        <v>57</v>
      </c>
      <c r="E941" t="s">
        <v>48</v>
      </c>
      <c r="F941" t="s">
        <v>44</v>
      </c>
      <c r="H941">
        <v>3</v>
      </c>
      <c r="I941" s="7">
        <v>0</v>
      </c>
      <c r="J941">
        <v>255</v>
      </c>
      <c r="K941" t="s">
        <v>90</v>
      </c>
      <c r="L941" t="s">
        <v>45</v>
      </c>
      <c r="M941" t="str" cm="1">
        <f t="array" ref="M941">_xlfn.IFS(OR('Original Data'!M941=0,'Original Data'!M941="No",'Original Data'!M941=FALSE),"No",OR('Original Data'!M941=1,'Original Data'!M941="Yes",'Original Data'!M941=TRUE),"Yes")</f>
        <v>Yes</v>
      </c>
    </row>
    <row r="942" spans="1:13" x14ac:dyDescent="0.2">
      <c r="A942">
        <v>941</v>
      </c>
      <c r="B942" t="s">
        <v>58</v>
      </c>
      <c r="C942" s="5">
        <v>45550</v>
      </c>
      <c r="D942" t="s">
        <v>59</v>
      </c>
      <c r="E942" t="s">
        <v>15</v>
      </c>
      <c r="F942" t="s">
        <v>66</v>
      </c>
      <c r="G942" t="s">
        <v>67</v>
      </c>
      <c r="H942">
        <v>4</v>
      </c>
      <c r="I942" s="7">
        <v>0</v>
      </c>
      <c r="J942">
        <v>239.8</v>
      </c>
      <c r="K942" t="str">
        <f>PROPER('Original Data'!K942)</f>
        <v>Debit Card</v>
      </c>
      <c r="L942" t="s">
        <v>45</v>
      </c>
      <c r="M942" t="str" cm="1">
        <f t="array" ref="M942">_xlfn.IFS(OR('Original Data'!M942=0,'Original Data'!M942="No",'Original Data'!M942=FALSE),"No",OR('Original Data'!M942=1,'Original Data'!M942="Yes",'Original Data'!M942=TRUE),"Yes")</f>
        <v>Yes</v>
      </c>
    </row>
    <row r="943" spans="1:13" x14ac:dyDescent="0.2">
      <c r="A943">
        <v>942</v>
      </c>
      <c r="B943" t="s">
        <v>74</v>
      </c>
      <c r="C943" s="5">
        <v>45468</v>
      </c>
      <c r="D943" t="s">
        <v>75</v>
      </c>
      <c r="E943" t="s">
        <v>76</v>
      </c>
      <c r="F943" t="s">
        <v>16</v>
      </c>
      <c r="G943" t="s">
        <v>17</v>
      </c>
      <c r="H943">
        <v>2</v>
      </c>
      <c r="I943" s="7">
        <v>0</v>
      </c>
      <c r="J943">
        <v>89.9</v>
      </c>
      <c r="K943" t="str">
        <f>PROPER('Original Data'!K943)</f>
        <v>Gift Card</v>
      </c>
      <c r="L943" t="s">
        <v>30</v>
      </c>
      <c r="M943" t="str" cm="1">
        <f t="array" ref="M943">_xlfn.IFS(OR('Original Data'!M943=0,'Original Data'!M943="No",'Original Data'!M943=FALSE),"No",OR('Original Data'!M943=1,'Original Data'!M943="Yes",'Original Data'!M943=TRUE),"Yes")</f>
        <v>No</v>
      </c>
    </row>
    <row r="944" spans="1:13" x14ac:dyDescent="0.2">
      <c r="A944">
        <v>943</v>
      </c>
      <c r="B944" t="s">
        <v>64</v>
      </c>
      <c r="C944" s="5">
        <v>45438</v>
      </c>
      <c r="D944" t="s">
        <v>65</v>
      </c>
      <c r="E944" t="s">
        <v>33</v>
      </c>
      <c r="F944" t="s">
        <v>21</v>
      </c>
      <c r="G944" t="s">
        <v>22</v>
      </c>
      <c r="H944">
        <v>5</v>
      </c>
      <c r="I944" s="7">
        <v>0.2</v>
      </c>
      <c r="J944">
        <v>299.8</v>
      </c>
      <c r="K944" t="s">
        <v>90</v>
      </c>
      <c r="L944" t="s">
        <v>45</v>
      </c>
      <c r="M944" t="str" cm="1">
        <f t="array" ref="M944">_xlfn.IFS(OR('Original Data'!M944=0,'Original Data'!M944="No",'Original Data'!M944=FALSE),"No",OR('Original Data'!M944=1,'Original Data'!M944="Yes",'Original Data'!M944=TRUE),"Yes")</f>
        <v>No</v>
      </c>
    </row>
    <row r="945" spans="1:13" x14ac:dyDescent="0.2">
      <c r="A945">
        <v>944</v>
      </c>
      <c r="B945" t="s">
        <v>13</v>
      </c>
      <c r="C945" s="5">
        <v>45147</v>
      </c>
      <c r="D945" t="s">
        <v>14</v>
      </c>
      <c r="E945" t="s">
        <v>15</v>
      </c>
      <c r="F945" t="s">
        <v>40</v>
      </c>
      <c r="G945" t="s">
        <v>17</v>
      </c>
      <c r="H945">
        <v>3</v>
      </c>
      <c r="I945" s="7">
        <v>0.25</v>
      </c>
      <c r="J945">
        <v>44.98</v>
      </c>
      <c r="K945" t="str">
        <f>PROPER('Original Data'!K945)</f>
        <v>Credit Card</v>
      </c>
      <c r="L945" t="s">
        <v>63</v>
      </c>
      <c r="M945" t="str" cm="1">
        <f t="array" ref="M945">_xlfn.IFS(OR('Original Data'!M945=0,'Original Data'!M945="No",'Original Data'!M945=FALSE),"No",OR('Original Data'!M945=1,'Original Data'!M945="Yes",'Original Data'!M945=TRUE),"Yes")</f>
        <v>No</v>
      </c>
    </row>
    <row r="946" spans="1:13" x14ac:dyDescent="0.2">
      <c r="A946">
        <v>945</v>
      </c>
      <c r="B946" t="s">
        <v>13</v>
      </c>
      <c r="C946" s="5">
        <v>45335</v>
      </c>
      <c r="D946" t="s">
        <v>14</v>
      </c>
      <c r="E946" t="s">
        <v>15</v>
      </c>
      <c r="F946" t="s">
        <v>66</v>
      </c>
      <c r="G946" t="s">
        <v>67</v>
      </c>
      <c r="H946">
        <v>2</v>
      </c>
      <c r="I946" s="7">
        <v>0.25</v>
      </c>
      <c r="J946">
        <v>29.98</v>
      </c>
      <c r="K946" t="str">
        <f>PROPER('Original Data'!K946)</f>
        <v>Gift Card</v>
      </c>
      <c r="L946" t="s">
        <v>30</v>
      </c>
      <c r="M946" t="str" cm="1">
        <f t="array" ref="M946">_xlfn.IFS(OR('Original Data'!M946=0,'Original Data'!M946="No",'Original Data'!M946=FALSE),"No",OR('Original Data'!M946=1,'Original Data'!M946="Yes",'Original Data'!M946=TRUE),"Yes")</f>
        <v>No</v>
      </c>
    </row>
    <row r="947" spans="1:13" x14ac:dyDescent="0.2">
      <c r="A947">
        <v>946</v>
      </c>
      <c r="B947" t="s">
        <v>50</v>
      </c>
      <c r="C947" s="5">
        <v>45322</v>
      </c>
      <c r="D947" t="s">
        <v>51</v>
      </c>
      <c r="E947" t="s">
        <v>15</v>
      </c>
      <c r="F947" t="s">
        <v>16</v>
      </c>
      <c r="G947" t="s">
        <v>17</v>
      </c>
      <c r="H947">
        <v>3</v>
      </c>
      <c r="I947" s="7">
        <v>0</v>
      </c>
      <c r="J947">
        <v>209.85</v>
      </c>
      <c r="K947" t="str">
        <f>PROPER('Original Data'!K947)</f>
        <v>Gift Card</v>
      </c>
      <c r="M947" t="str" cm="1">
        <f t="array" ref="M947">_xlfn.IFS(OR('Original Data'!M947=0,'Original Data'!M947="No",'Original Data'!M947=FALSE),"No",OR('Original Data'!M947=1,'Original Data'!M947="Yes",'Original Data'!M947=TRUE),"Yes")</f>
        <v>No</v>
      </c>
    </row>
    <row r="948" spans="1:13" x14ac:dyDescent="0.2">
      <c r="A948">
        <v>947</v>
      </c>
      <c r="B948" t="s">
        <v>42</v>
      </c>
      <c r="C948" s="5">
        <v>45445</v>
      </c>
      <c r="D948" t="s">
        <v>91</v>
      </c>
      <c r="E948" t="str">
        <f>_xlfn.XLOOKUP('Cleaned Data'!B162,'Original Data'!B:B,'Original Data'!E:E)</f>
        <v>Old Navy</v>
      </c>
      <c r="G948" t="s">
        <v>25</v>
      </c>
      <c r="H948">
        <v>3</v>
      </c>
      <c r="I948" s="7">
        <v>0.15</v>
      </c>
      <c r="J948">
        <v>328.95</v>
      </c>
      <c r="K948" t="str">
        <f>PROPER('Original Data'!K948)</f>
        <v>Cash</v>
      </c>
      <c r="L948" t="s">
        <v>63</v>
      </c>
      <c r="M948" t="s">
        <v>92</v>
      </c>
    </row>
    <row r="949" spans="1:13" x14ac:dyDescent="0.2">
      <c r="A949">
        <v>948</v>
      </c>
      <c r="B949" t="s">
        <v>13</v>
      </c>
      <c r="C949" s="5">
        <v>45398</v>
      </c>
      <c r="D949" t="s">
        <v>14</v>
      </c>
      <c r="E949" t="s">
        <v>15</v>
      </c>
      <c r="F949" t="s">
        <v>40</v>
      </c>
      <c r="G949" t="s">
        <v>17</v>
      </c>
      <c r="H949">
        <v>4</v>
      </c>
      <c r="I949" s="7">
        <v>0.2</v>
      </c>
      <c r="J949">
        <v>63.97</v>
      </c>
      <c r="K949" t="s">
        <v>90</v>
      </c>
      <c r="L949" t="s">
        <v>49</v>
      </c>
      <c r="M949" t="str" cm="1">
        <f t="array" ref="M949">_xlfn.IFS(OR('Original Data'!M949=0,'Original Data'!M949="No",'Original Data'!M949=FALSE),"No",OR('Original Data'!M949=1,'Original Data'!M949="Yes",'Original Data'!M949=TRUE),"Yes")</f>
        <v>No</v>
      </c>
    </row>
    <row r="950" spans="1:13" x14ac:dyDescent="0.2">
      <c r="A950">
        <v>949</v>
      </c>
      <c r="B950" t="s">
        <v>56</v>
      </c>
      <c r="C950" s="5">
        <v>45265</v>
      </c>
      <c r="D950" t="s">
        <v>57</v>
      </c>
      <c r="E950" t="s">
        <v>48</v>
      </c>
      <c r="F950" t="s">
        <v>26</v>
      </c>
      <c r="G950" t="s">
        <v>22</v>
      </c>
      <c r="H950">
        <v>5</v>
      </c>
      <c r="I950" s="7">
        <v>0</v>
      </c>
      <c r="J950">
        <v>425</v>
      </c>
      <c r="K950" t="str">
        <f>PROPER('Original Data'!K950)</f>
        <v>Gift Card</v>
      </c>
      <c r="L950" t="s">
        <v>45</v>
      </c>
      <c r="M950" t="str" cm="1">
        <f t="array" ref="M950">_xlfn.IFS(OR('Original Data'!M950=0,'Original Data'!M950="No",'Original Data'!M950=FALSE),"No",OR('Original Data'!M950=1,'Original Data'!M950="Yes",'Original Data'!M950=TRUE),"Yes")</f>
        <v>Yes</v>
      </c>
    </row>
    <row r="951" spans="1:13" x14ac:dyDescent="0.2">
      <c r="A951">
        <v>950</v>
      </c>
      <c r="B951" t="s">
        <v>58</v>
      </c>
      <c r="C951" s="5">
        <v>45126</v>
      </c>
      <c r="D951" t="s">
        <v>59</v>
      </c>
      <c r="E951" t="s">
        <v>15</v>
      </c>
      <c r="F951" t="s">
        <v>34</v>
      </c>
      <c r="G951" t="s">
        <v>35</v>
      </c>
      <c r="H951">
        <v>1</v>
      </c>
      <c r="I951" s="7">
        <v>0.1</v>
      </c>
      <c r="J951">
        <v>53.96</v>
      </c>
      <c r="K951" t="str">
        <f>PROPER('Original Data'!K951)</f>
        <v>Debit Card</v>
      </c>
      <c r="L951" t="s">
        <v>23</v>
      </c>
      <c r="M951" t="str" cm="1">
        <f t="array" ref="M951">_xlfn.IFS(OR('Original Data'!M951=0,'Original Data'!M951="No",'Original Data'!M951=FALSE),"No",OR('Original Data'!M951=1,'Original Data'!M951="Yes",'Original Data'!M951=TRUE),"Yes")</f>
        <v>Yes</v>
      </c>
    </row>
    <row r="952" spans="1:13" x14ac:dyDescent="0.2">
      <c r="A952">
        <v>951</v>
      </c>
      <c r="B952" t="s">
        <v>64</v>
      </c>
      <c r="C952" s="5">
        <v>45096</v>
      </c>
      <c r="D952" t="s">
        <v>65</v>
      </c>
      <c r="E952" t="s">
        <v>33</v>
      </c>
      <c r="F952" t="s">
        <v>26</v>
      </c>
      <c r="G952" t="s">
        <v>22</v>
      </c>
      <c r="H952">
        <v>4</v>
      </c>
      <c r="I952" s="7">
        <v>0</v>
      </c>
      <c r="J952">
        <v>299.8</v>
      </c>
      <c r="K952" t="str">
        <f>PROPER('Original Data'!K952)</f>
        <v>Gift Card</v>
      </c>
      <c r="L952" t="s">
        <v>63</v>
      </c>
      <c r="M952" t="str" cm="1">
        <f t="array" ref="M952">_xlfn.IFS(OR('Original Data'!M952=0,'Original Data'!M952="No",'Original Data'!M952=FALSE),"No",OR('Original Data'!M952=1,'Original Data'!M952="Yes",'Original Data'!M952=TRUE),"Yes")</f>
        <v>No</v>
      </c>
    </row>
    <row r="953" spans="1:13" x14ac:dyDescent="0.2">
      <c r="A953">
        <v>952</v>
      </c>
      <c r="B953" t="s">
        <v>81</v>
      </c>
      <c r="C953" s="5">
        <v>45086</v>
      </c>
      <c r="D953" t="s">
        <v>82</v>
      </c>
      <c r="E953" t="s">
        <v>15</v>
      </c>
      <c r="F953" t="s">
        <v>53</v>
      </c>
      <c r="G953" t="s">
        <v>54</v>
      </c>
      <c r="H953">
        <v>5</v>
      </c>
      <c r="I953" s="7">
        <v>0.15</v>
      </c>
      <c r="J953">
        <v>339.79</v>
      </c>
      <c r="K953" t="s">
        <v>90</v>
      </c>
      <c r="L953" t="s">
        <v>49</v>
      </c>
      <c r="M953" t="str" cm="1">
        <f t="array" ref="M953">_xlfn.IFS(OR('Original Data'!M953=0,'Original Data'!M953="No",'Original Data'!M953=FALSE),"No",OR('Original Data'!M953=1,'Original Data'!M953="Yes",'Original Data'!M953=TRUE),"Yes")</f>
        <v>Yes</v>
      </c>
    </row>
    <row r="954" spans="1:13" x14ac:dyDescent="0.2">
      <c r="A954">
        <v>953</v>
      </c>
      <c r="B954" t="s">
        <v>78</v>
      </c>
      <c r="C954" s="5">
        <v>45532</v>
      </c>
      <c r="D954" t="s">
        <v>79</v>
      </c>
      <c r="E954" t="s">
        <v>48</v>
      </c>
      <c r="F954" t="s">
        <v>40</v>
      </c>
      <c r="G954" t="s">
        <v>17</v>
      </c>
      <c r="H954">
        <v>3</v>
      </c>
      <c r="I954" s="7">
        <v>0.25</v>
      </c>
      <c r="J954">
        <v>89.89</v>
      </c>
      <c r="K954" t="str">
        <f>PROPER('Original Data'!K954)</f>
        <v>Credit Card</v>
      </c>
      <c r="L954" t="s">
        <v>28</v>
      </c>
      <c r="M954" t="str" cm="1">
        <f t="array" ref="M954">_xlfn.IFS(OR('Original Data'!M954=0,'Original Data'!M954="No",'Original Data'!M954=FALSE),"No",OR('Original Data'!M954=1,'Original Data'!M954="Yes",'Original Data'!M954=TRUE),"Yes")</f>
        <v>Yes</v>
      </c>
    </row>
    <row r="955" spans="1:13" x14ac:dyDescent="0.2">
      <c r="A955">
        <v>954</v>
      </c>
      <c r="B955" t="s">
        <v>46</v>
      </c>
      <c r="C955" s="5">
        <v>45336</v>
      </c>
      <c r="D955" t="s">
        <v>47</v>
      </c>
      <c r="E955" t="s">
        <v>48</v>
      </c>
      <c r="F955" t="s">
        <v>66</v>
      </c>
      <c r="G955" t="s">
        <v>67</v>
      </c>
      <c r="H955">
        <v>5</v>
      </c>
      <c r="I955" s="7">
        <v>0.15</v>
      </c>
      <c r="J955">
        <v>212.29</v>
      </c>
      <c r="K955" t="str">
        <f>PROPER('Original Data'!K955)</f>
        <v>Apple Pay</v>
      </c>
      <c r="L955" t="s">
        <v>28</v>
      </c>
      <c r="M955" t="str" cm="1">
        <f t="array" ref="M955">_xlfn.IFS(OR('Original Data'!M955=0,'Original Data'!M955="No",'Original Data'!M955=FALSE),"No",OR('Original Data'!M955=1,'Original Data'!M955="Yes",'Original Data'!M955=TRUE),"Yes")</f>
        <v>No</v>
      </c>
    </row>
    <row r="956" spans="1:13" x14ac:dyDescent="0.2">
      <c r="A956">
        <v>955</v>
      </c>
      <c r="B956" t="s">
        <v>85</v>
      </c>
      <c r="C956" s="5">
        <v>45411</v>
      </c>
      <c r="D956" t="s">
        <v>86</v>
      </c>
      <c r="E956" t="s">
        <v>76</v>
      </c>
      <c r="F956" t="s">
        <v>26</v>
      </c>
      <c r="G956" t="s">
        <v>22</v>
      </c>
      <c r="H956">
        <v>4</v>
      </c>
      <c r="I956" s="7">
        <v>0.2</v>
      </c>
      <c r="J956">
        <v>287.83999999999997</v>
      </c>
      <c r="K956" t="str">
        <f>PROPER('Original Data'!K956)</f>
        <v>Gift Card</v>
      </c>
      <c r="L956" t="s">
        <v>45</v>
      </c>
      <c r="M956" t="str" cm="1">
        <f t="array" ref="M956">_xlfn.IFS(OR('Original Data'!M956=0,'Original Data'!M956="No",'Original Data'!M956=FALSE),"No",OR('Original Data'!M956=1,'Original Data'!M956="Yes",'Original Data'!M956=TRUE),"Yes")</f>
        <v>Yes</v>
      </c>
    </row>
    <row r="957" spans="1:13" x14ac:dyDescent="0.2">
      <c r="A957">
        <v>956</v>
      </c>
      <c r="B957" t="s">
        <v>19</v>
      </c>
      <c r="C957" s="5">
        <v>45090</v>
      </c>
      <c r="D957" t="str">
        <f>VLOOKUP(B957,'Original Data'!B:D,3,FALSE)</f>
        <v>Denim Jacket</v>
      </c>
      <c r="E957" t="str">
        <f>_xlfn.XLOOKUP('Cleaned Data'!B461,'Original Data'!B:B,'Original Data'!E:E)</f>
        <v>Old Navy</v>
      </c>
      <c r="F957" t="s">
        <v>21</v>
      </c>
      <c r="G957" t="s">
        <v>22</v>
      </c>
      <c r="H957">
        <v>3</v>
      </c>
      <c r="I957" s="7">
        <v>0.05</v>
      </c>
      <c r="J957">
        <v>256.36</v>
      </c>
      <c r="K957" t="str">
        <f>PROPER('Original Data'!K957)</f>
        <v>Cash</v>
      </c>
      <c r="L957" t="s">
        <v>45</v>
      </c>
      <c r="M957" t="s">
        <v>92</v>
      </c>
    </row>
    <row r="958" spans="1:13" x14ac:dyDescent="0.2">
      <c r="A958">
        <v>957</v>
      </c>
      <c r="B958" t="s">
        <v>61</v>
      </c>
      <c r="C958" s="5">
        <v>44960</v>
      </c>
      <c r="D958" t="s">
        <v>62</v>
      </c>
      <c r="E958" t="s">
        <v>33</v>
      </c>
      <c r="F958" t="s">
        <v>16</v>
      </c>
      <c r="G958" t="s">
        <v>17</v>
      </c>
      <c r="H958">
        <v>1</v>
      </c>
      <c r="I958" s="7">
        <v>0</v>
      </c>
      <c r="J958">
        <v>34.99</v>
      </c>
      <c r="K958" t="str">
        <f>PROPER('Original Data'!K958)</f>
        <v>Debit Card</v>
      </c>
      <c r="L958" t="s">
        <v>41</v>
      </c>
      <c r="M958" t="str" cm="1">
        <f t="array" ref="M958">_xlfn.IFS(OR('Original Data'!M958=0,'Original Data'!M958="No",'Original Data'!M958=FALSE),"No",OR('Original Data'!M958=1,'Original Data'!M958="Yes",'Original Data'!M958=TRUE),"Yes")</f>
        <v>No</v>
      </c>
    </row>
    <row r="959" spans="1:13" x14ac:dyDescent="0.2">
      <c r="A959">
        <v>958</v>
      </c>
      <c r="B959" t="s">
        <v>88</v>
      </c>
      <c r="C959" s="5">
        <v>45556</v>
      </c>
      <c r="D959" t="s">
        <v>89</v>
      </c>
      <c r="E959" t="s">
        <v>33</v>
      </c>
      <c r="F959" t="s">
        <v>53</v>
      </c>
      <c r="G959" t="s">
        <v>54</v>
      </c>
      <c r="H959">
        <v>1</v>
      </c>
      <c r="I959" s="7">
        <v>0</v>
      </c>
      <c r="J959">
        <v>198</v>
      </c>
      <c r="K959" t="str">
        <f>PROPER('Original Data'!K959)</f>
        <v>Credit Card</v>
      </c>
      <c r="L959" t="s">
        <v>55</v>
      </c>
      <c r="M959" t="str" cm="1">
        <f t="array" ref="M959">_xlfn.IFS(OR('Original Data'!M959=0,'Original Data'!M959="No",'Original Data'!M959=FALSE),"No",OR('Original Data'!M959=1,'Original Data'!M959="Yes",'Original Data'!M959=TRUE),"Yes")</f>
        <v>No</v>
      </c>
    </row>
    <row r="960" spans="1:13" x14ac:dyDescent="0.2">
      <c r="A960">
        <v>959</v>
      </c>
      <c r="B960" t="s">
        <v>71</v>
      </c>
      <c r="C960" s="5">
        <v>45547</v>
      </c>
      <c r="D960" t="s">
        <v>72</v>
      </c>
      <c r="E960" t="s">
        <v>33</v>
      </c>
      <c r="F960" t="s">
        <v>16</v>
      </c>
      <c r="G960" t="s">
        <v>17</v>
      </c>
      <c r="H960">
        <v>3</v>
      </c>
      <c r="I960" s="7">
        <v>0</v>
      </c>
      <c r="J960">
        <v>179.85</v>
      </c>
      <c r="K960" t="str">
        <f>PROPER('Original Data'!K960)</f>
        <v>Gift Card</v>
      </c>
      <c r="L960" t="s">
        <v>55</v>
      </c>
      <c r="M960" t="str" cm="1">
        <f t="array" ref="M960">_xlfn.IFS(OR('Original Data'!M960=0,'Original Data'!M960="No",'Original Data'!M960=FALSE),"No",OR('Original Data'!M960=1,'Original Data'!M960="Yes",'Original Data'!M960=TRUE),"Yes")</f>
        <v>Yes</v>
      </c>
    </row>
    <row r="961" spans="1:13" x14ac:dyDescent="0.2">
      <c r="A961">
        <v>960</v>
      </c>
      <c r="B961" t="s">
        <v>83</v>
      </c>
      <c r="C961" s="5">
        <v>45596</v>
      </c>
      <c r="D961" t="s">
        <v>84</v>
      </c>
      <c r="E961" t="s">
        <v>48</v>
      </c>
      <c r="F961" t="s">
        <v>66</v>
      </c>
      <c r="G961" t="s">
        <v>67</v>
      </c>
      <c r="H961">
        <v>4</v>
      </c>
      <c r="I961" s="7">
        <v>0.15</v>
      </c>
      <c r="J961">
        <v>169.83</v>
      </c>
      <c r="K961" t="str">
        <f>PROPER('Original Data'!K961)</f>
        <v>Cash</v>
      </c>
      <c r="L961" t="s">
        <v>30</v>
      </c>
      <c r="M961" t="str" cm="1">
        <f t="array" ref="M961">_xlfn.IFS(OR('Original Data'!M961=0,'Original Data'!M961="No",'Original Data'!M961=FALSE),"No",OR('Original Data'!M961=1,'Original Data'!M961="Yes",'Original Data'!M961=TRUE),"Yes")</f>
        <v>No</v>
      </c>
    </row>
    <row r="962" spans="1:13" x14ac:dyDescent="0.2">
      <c r="A962">
        <v>961</v>
      </c>
      <c r="B962" t="s">
        <v>58</v>
      </c>
      <c r="C962" s="5">
        <v>45037</v>
      </c>
      <c r="D962" t="s">
        <v>59</v>
      </c>
      <c r="E962" t="s">
        <v>15</v>
      </c>
      <c r="F962" t="s">
        <v>66</v>
      </c>
      <c r="G962" t="s">
        <v>67</v>
      </c>
      <c r="H962">
        <v>1</v>
      </c>
      <c r="I962" s="7">
        <v>0</v>
      </c>
      <c r="J962">
        <v>59.95</v>
      </c>
      <c r="K962" t="str">
        <f>PROPER('Original Data'!K962)</f>
        <v>Debit Card</v>
      </c>
      <c r="L962" t="s">
        <v>55</v>
      </c>
      <c r="M962" t="str" cm="1">
        <f t="array" ref="M962">_xlfn.IFS(OR('Original Data'!M962=0,'Original Data'!M962="No",'Original Data'!M962=FALSE),"No",OR('Original Data'!M962=1,'Original Data'!M962="Yes",'Original Data'!M962=TRUE),"Yes")</f>
        <v>Yes</v>
      </c>
    </row>
    <row r="963" spans="1:13" x14ac:dyDescent="0.2">
      <c r="A963">
        <v>962</v>
      </c>
      <c r="B963" t="s">
        <v>37</v>
      </c>
      <c r="C963" s="5">
        <v>45327</v>
      </c>
      <c r="D963" t="s">
        <v>38</v>
      </c>
      <c r="E963" t="s">
        <v>39</v>
      </c>
      <c r="F963" t="s">
        <v>53</v>
      </c>
      <c r="G963" t="s">
        <v>54</v>
      </c>
      <c r="H963">
        <v>4</v>
      </c>
      <c r="I963" s="7">
        <v>0</v>
      </c>
      <c r="J963">
        <v>259.8</v>
      </c>
      <c r="K963" t="str">
        <f>PROPER('Original Data'!K963)</f>
        <v>Debit Card</v>
      </c>
      <c r="L963" t="s">
        <v>49</v>
      </c>
      <c r="M963" t="str" cm="1">
        <f t="array" ref="M963">_xlfn.IFS(OR('Original Data'!M963=0,'Original Data'!M963="No",'Original Data'!M963=FALSE),"No",OR('Original Data'!M963=1,'Original Data'!M963="Yes",'Original Data'!M963=TRUE),"Yes")</f>
        <v>Yes</v>
      </c>
    </row>
    <row r="964" spans="1:13" x14ac:dyDescent="0.2">
      <c r="A964">
        <v>963</v>
      </c>
      <c r="B964" t="s">
        <v>88</v>
      </c>
      <c r="C964" s="5">
        <v>45651</v>
      </c>
      <c r="D964" t="s">
        <v>89</v>
      </c>
      <c r="E964" t="s">
        <v>33</v>
      </c>
      <c r="F964" t="s">
        <v>21</v>
      </c>
      <c r="G964" t="s">
        <v>22</v>
      </c>
      <c r="H964">
        <v>4</v>
      </c>
      <c r="I964" s="7">
        <v>0</v>
      </c>
      <c r="J964">
        <v>792</v>
      </c>
      <c r="K964" t="str">
        <f>PROPER('Original Data'!K964)</f>
        <v>Apple Pay</v>
      </c>
      <c r="L964" t="s">
        <v>49</v>
      </c>
      <c r="M964" t="str" cm="1">
        <f t="array" ref="M964">_xlfn.IFS(OR('Original Data'!M964=0,'Original Data'!M964="No",'Original Data'!M964=FALSE),"No",OR('Original Data'!M964=1,'Original Data'!M964="Yes",'Original Data'!M964=TRUE),"Yes")</f>
        <v>No</v>
      </c>
    </row>
    <row r="965" spans="1:13" x14ac:dyDescent="0.2">
      <c r="A965">
        <v>964</v>
      </c>
      <c r="B965" t="s">
        <v>83</v>
      </c>
      <c r="C965" s="5">
        <v>45172</v>
      </c>
      <c r="D965" t="s">
        <v>84</v>
      </c>
      <c r="E965" t="s">
        <v>48</v>
      </c>
      <c r="F965" t="s">
        <v>16</v>
      </c>
      <c r="G965" t="s">
        <v>17</v>
      </c>
      <c r="H965">
        <v>3</v>
      </c>
      <c r="I965" s="7">
        <v>0</v>
      </c>
      <c r="J965">
        <v>149.85</v>
      </c>
      <c r="K965" t="str">
        <f>PROPER('Original Data'!K965)</f>
        <v>Debit Card</v>
      </c>
      <c r="L965" t="s">
        <v>23</v>
      </c>
      <c r="M965" t="str" cm="1">
        <f t="array" ref="M965">_xlfn.IFS(OR('Original Data'!M965=0,'Original Data'!M965="No",'Original Data'!M965=FALSE),"No",OR('Original Data'!M965=1,'Original Data'!M965="Yes",'Original Data'!M965=TRUE),"Yes")</f>
        <v>No</v>
      </c>
    </row>
    <row r="966" spans="1:13" x14ac:dyDescent="0.2">
      <c r="A966">
        <v>965</v>
      </c>
      <c r="B966" t="s">
        <v>88</v>
      </c>
      <c r="C966" s="5">
        <v>45133</v>
      </c>
      <c r="D966" t="s">
        <v>89</v>
      </c>
      <c r="E966" t="s">
        <v>33</v>
      </c>
      <c r="F966" t="s">
        <v>40</v>
      </c>
      <c r="G966" t="s">
        <v>17</v>
      </c>
      <c r="H966">
        <v>1</v>
      </c>
      <c r="I966" s="7">
        <v>0</v>
      </c>
      <c r="J966">
        <v>198</v>
      </c>
      <c r="K966" t="s">
        <v>90</v>
      </c>
      <c r="L966" t="s">
        <v>41</v>
      </c>
      <c r="M966" t="str" cm="1">
        <f t="array" ref="M966">_xlfn.IFS(OR('Original Data'!M966=0,'Original Data'!M966="No",'Original Data'!M966=FALSE),"No",OR('Original Data'!M966=1,'Original Data'!M966="Yes",'Original Data'!M966=TRUE),"Yes")</f>
        <v>No</v>
      </c>
    </row>
    <row r="967" spans="1:13" x14ac:dyDescent="0.2">
      <c r="A967">
        <v>966</v>
      </c>
      <c r="B967" t="s">
        <v>85</v>
      </c>
      <c r="C967" s="5">
        <v>45394</v>
      </c>
      <c r="D967" t="str">
        <f>VLOOKUP(B967,'Original Data'!B:D,3,FALSE)</f>
        <v xml:space="preserve">Wrap Dress  </v>
      </c>
      <c r="E967" t="str">
        <f>_xlfn.XLOOKUP('Cleaned Data'!B813,'Original Data'!B:B,'Original Data'!E:E)</f>
        <v>Banana Republic</v>
      </c>
      <c r="F967" t="s">
        <v>34</v>
      </c>
      <c r="G967" t="s">
        <v>35</v>
      </c>
      <c r="H967">
        <v>1</v>
      </c>
      <c r="I967" s="7">
        <v>0.25</v>
      </c>
      <c r="J967">
        <v>67.459999999999994</v>
      </c>
      <c r="K967" t="s">
        <v>90</v>
      </c>
      <c r="L967" t="s">
        <v>30</v>
      </c>
      <c r="M967" t="s">
        <v>92</v>
      </c>
    </row>
    <row r="968" spans="1:13" x14ac:dyDescent="0.2">
      <c r="A968">
        <v>967</v>
      </c>
      <c r="B968" t="s">
        <v>71</v>
      </c>
      <c r="C968" s="5">
        <v>45155</v>
      </c>
      <c r="D968" t="s">
        <v>72</v>
      </c>
      <c r="E968" t="s">
        <v>33</v>
      </c>
      <c r="F968" t="s">
        <v>44</v>
      </c>
      <c r="H968">
        <v>5</v>
      </c>
      <c r="I968" s="7">
        <v>0.05</v>
      </c>
      <c r="J968">
        <v>284.76</v>
      </c>
      <c r="K968" t="s">
        <v>90</v>
      </c>
      <c r="L968" t="s">
        <v>49</v>
      </c>
      <c r="M968" t="str" cm="1">
        <f t="array" ref="M968">_xlfn.IFS(OR('Original Data'!M968=0,'Original Data'!M968="No",'Original Data'!M968=FALSE),"No",OR('Original Data'!M968=1,'Original Data'!M968="Yes",'Original Data'!M968=TRUE),"Yes")</f>
        <v>Yes</v>
      </c>
    </row>
    <row r="969" spans="1:13" x14ac:dyDescent="0.2">
      <c r="A969">
        <v>968</v>
      </c>
      <c r="B969" t="s">
        <v>24</v>
      </c>
      <c r="C969" s="5">
        <v>44975</v>
      </c>
      <c r="D969" t="s">
        <v>87</v>
      </c>
      <c r="E969" t="s">
        <v>39</v>
      </c>
      <c r="F969" t="s">
        <v>34</v>
      </c>
      <c r="G969" t="s">
        <v>35</v>
      </c>
      <c r="H969">
        <v>2</v>
      </c>
      <c r="I969" s="7">
        <v>0.2</v>
      </c>
      <c r="J969">
        <v>71.92</v>
      </c>
      <c r="K969" t="str">
        <f>PROPER('Original Data'!K969)</f>
        <v>Gift Card</v>
      </c>
      <c r="L969" t="s">
        <v>23</v>
      </c>
      <c r="M969" t="str" cm="1">
        <f t="array" ref="M969">_xlfn.IFS(OR('Original Data'!M969=0,'Original Data'!M969="No",'Original Data'!M969=FALSE),"No",OR('Original Data'!M969=1,'Original Data'!M969="Yes",'Original Data'!M969=TRUE),"Yes")</f>
        <v>Yes</v>
      </c>
    </row>
    <row r="970" spans="1:13" x14ac:dyDescent="0.2">
      <c r="A970">
        <v>969</v>
      </c>
      <c r="B970" t="s">
        <v>71</v>
      </c>
      <c r="C970" s="5">
        <v>45604</v>
      </c>
      <c r="D970" t="s">
        <v>72</v>
      </c>
      <c r="E970" t="s">
        <v>33</v>
      </c>
      <c r="F970" t="s">
        <v>53</v>
      </c>
      <c r="G970" t="s">
        <v>54</v>
      </c>
      <c r="H970">
        <v>1</v>
      </c>
      <c r="I970" s="7">
        <v>0.25</v>
      </c>
      <c r="J970">
        <v>44.96</v>
      </c>
      <c r="K970" t="s">
        <v>90</v>
      </c>
      <c r="L970" t="s">
        <v>63</v>
      </c>
      <c r="M970" t="str" cm="1">
        <f t="array" ref="M970">_xlfn.IFS(OR('Original Data'!M970=0,'Original Data'!M970="No",'Original Data'!M970=FALSE),"No",OR('Original Data'!M970=1,'Original Data'!M970="Yes",'Original Data'!M970=TRUE),"Yes")</f>
        <v>Yes</v>
      </c>
    </row>
    <row r="971" spans="1:13" x14ac:dyDescent="0.2">
      <c r="A971">
        <v>970</v>
      </c>
      <c r="B971" t="s">
        <v>13</v>
      </c>
      <c r="C971" s="5">
        <v>45178</v>
      </c>
      <c r="D971" t="s">
        <v>14</v>
      </c>
      <c r="E971" t="s">
        <v>15</v>
      </c>
      <c r="G971" t="s">
        <v>25</v>
      </c>
      <c r="H971">
        <v>4</v>
      </c>
      <c r="I971" s="7">
        <v>0</v>
      </c>
      <c r="J971">
        <v>79.959999999999994</v>
      </c>
      <c r="K971" t="str">
        <f>PROPER('Original Data'!K971)</f>
        <v>Apple Pay</v>
      </c>
      <c r="L971" t="s">
        <v>49</v>
      </c>
      <c r="M971" t="str" cm="1">
        <f t="array" ref="M971">_xlfn.IFS(OR('Original Data'!M971=0,'Original Data'!M971="No",'Original Data'!M971=FALSE),"No",OR('Original Data'!M971=1,'Original Data'!M971="Yes",'Original Data'!M971=TRUE),"Yes")</f>
        <v>No</v>
      </c>
    </row>
    <row r="972" spans="1:13" x14ac:dyDescent="0.2">
      <c r="A972">
        <v>971</v>
      </c>
      <c r="B972" t="s">
        <v>37</v>
      </c>
      <c r="C972" s="5">
        <v>45243</v>
      </c>
      <c r="D972" t="s">
        <v>38</v>
      </c>
      <c r="E972" t="s">
        <v>39</v>
      </c>
      <c r="F972" t="s">
        <v>21</v>
      </c>
      <c r="G972" t="s">
        <v>22</v>
      </c>
      <c r="H972">
        <v>2</v>
      </c>
      <c r="I972" s="7">
        <v>0.15</v>
      </c>
      <c r="J972">
        <v>110.42</v>
      </c>
      <c r="K972" t="str">
        <f>PROPER('Original Data'!K972)</f>
        <v>Cash</v>
      </c>
      <c r="L972" t="s">
        <v>55</v>
      </c>
      <c r="M972" t="str" cm="1">
        <f t="array" ref="M972">_xlfn.IFS(OR('Original Data'!M972=0,'Original Data'!M972="No",'Original Data'!M972=FALSE),"No",OR('Original Data'!M972=1,'Original Data'!M972="Yes",'Original Data'!M972=TRUE),"Yes")</f>
        <v>Yes</v>
      </c>
    </row>
    <row r="973" spans="1:13" x14ac:dyDescent="0.2">
      <c r="A973">
        <v>972</v>
      </c>
      <c r="B973" t="s">
        <v>31</v>
      </c>
      <c r="C973" s="5">
        <v>45439</v>
      </c>
      <c r="D973" t="s">
        <v>32</v>
      </c>
      <c r="E973" t="s">
        <v>33</v>
      </c>
      <c r="F973" t="s">
        <v>53</v>
      </c>
      <c r="G973" t="s">
        <v>54</v>
      </c>
      <c r="H973">
        <v>1</v>
      </c>
      <c r="I973" s="7">
        <v>0.25</v>
      </c>
      <c r="J973">
        <v>59.96</v>
      </c>
      <c r="K973" t="str">
        <f>PROPER('Original Data'!K973)</f>
        <v>Credit Card</v>
      </c>
      <c r="L973" t="s">
        <v>49</v>
      </c>
      <c r="M973" t="str" cm="1">
        <f t="array" ref="M973">_xlfn.IFS(OR('Original Data'!M973=0,'Original Data'!M973="No",'Original Data'!M973=FALSE),"No",OR('Original Data'!M973=1,'Original Data'!M973="Yes",'Original Data'!M973=TRUE),"Yes")</f>
        <v>No</v>
      </c>
    </row>
    <row r="974" spans="1:13" x14ac:dyDescent="0.2">
      <c r="A974">
        <v>973</v>
      </c>
      <c r="B974" t="s">
        <v>37</v>
      </c>
      <c r="C974" s="5">
        <v>45015</v>
      </c>
      <c r="D974" t="s">
        <v>38</v>
      </c>
      <c r="E974" t="s">
        <v>39</v>
      </c>
      <c r="F974" t="s">
        <v>21</v>
      </c>
      <c r="G974" t="s">
        <v>22</v>
      </c>
      <c r="H974">
        <v>5</v>
      </c>
      <c r="I974" s="7">
        <v>0.1</v>
      </c>
      <c r="J974">
        <v>292.27999999999997</v>
      </c>
      <c r="K974" t="s">
        <v>90</v>
      </c>
      <c r="L974" t="s">
        <v>23</v>
      </c>
      <c r="M974" t="str" cm="1">
        <f t="array" ref="M974">_xlfn.IFS(OR('Original Data'!M974=0,'Original Data'!M974="No",'Original Data'!M974=FALSE),"No",OR('Original Data'!M974=1,'Original Data'!M974="Yes",'Original Data'!M974=TRUE),"Yes")</f>
        <v>Yes</v>
      </c>
    </row>
    <row r="975" spans="1:13" x14ac:dyDescent="0.2">
      <c r="A975">
        <v>974</v>
      </c>
      <c r="B975" t="s">
        <v>74</v>
      </c>
      <c r="C975" s="5">
        <v>45098</v>
      </c>
      <c r="D975" t="s">
        <v>75</v>
      </c>
      <c r="E975" t="s">
        <v>76</v>
      </c>
      <c r="F975" t="s">
        <v>40</v>
      </c>
      <c r="G975" t="s">
        <v>17</v>
      </c>
      <c r="H975">
        <v>4</v>
      </c>
      <c r="I975" s="7">
        <v>0</v>
      </c>
      <c r="J975">
        <v>179.8</v>
      </c>
      <c r="K975" t="str">
        <f>PROPER('Original Data'!K975)</f>
        <v>Debit Card</v>
      </c>
      <c r="L975" t="s">
        <v>28</v>
      </c>
      <c r="M975" t="str" cm="1">
        <f t="array" ref="M975">_xlfn.IFS(OR('Original Data'!M975=0,'Original Data'!M975="No",'Original Data'!M975=FALSE),"No",OR('Original Data'!M975=1,'Original Data'!M975="Yes",'Original Data'!M975=TRUE),"Yes")</f>
        <v>No</v>
      </c>
    </row>
    <row r="976" spans="1:13" x14ac:dyDescent="0.2">
      <c r="A976">
        <v>975</v>
      </c>
      <c r="B976" t="s">
        <v>56</v>
      </c>
      <c r="C976" s="5">
        <v>45304</v>
      </c>
      <c r="D976" t="str">
        <f>VLOOKUP(B976,'Original Data'!B:D,3,FALSE)</f>
        <v>Rain Jacket</v>
      </c>
      <c r="E976" t="str">
        <f>_xlfn.XLOOKUP('Cleaned Data'!B1059,'Original Data'!B:B,'Original Data'!E:E)</f>
        <v>GAP</v>
      </c>
      <c r="F976" t="s">
        <v>44</v>
      </c>
      <c r="H976">
        <v>4</v>
      </c>
      <c r="I976" s="7">
        <v>0.2</v>
      </c>
      <c r="J976">
        <v>272</v>
      </c>
      <c r="K976" t="str">
        <f>PROPER('Original Data'!K976)</f>
        <v>Apple Pay</v>
      </c>
      <c r="L976" t="s">
        <v>49</v>
      </c>
      <c r="M976" t="s">
        <v>92</v>
      </c>
    </row>
    <row r="977" spans="1:13" x14ac:dyDescent="0.2">
      <c r="A977">
        <v>976</v>
      </c>
      <c r="B977" t="s">
        <v>85</v>
      </c>
      <c r="C977" s="5">
        <v>45064</v>
      </c>
      <c r="D977" t="s">
        <v>86</v>
      </c>
      <c r="E977" t="s">
        <v>76</v>
      </c>
      <c r="F977" t="s">
        <v>40</v>
      </c>
      <c r="G977" t="s">
        <v>17</v>
      </c>
      <c r="H977">
        <v>1</v>
      </c>
      <c r="I977" s="7">
        <v>0.15</v>
      </c>
      <c r="J977">
        <v>76.459999999999994</v>
      </c>
      <c r="K977" t="str">
        <f>PROPER('Original Data'!K977)</f>
        <v>Credit Card</v>
      </c>
      <c r="L977" t="s">
        <v>41</v>
      </c>
      <c r="M977" t="str" cm="1">
        <f t="array" ref="M977">_xlfn.IFS(OR('Original Data'!M977=0,'Original Data'!M977="No",'Original Data'!M977=FALSE),"No",OR('Original Data'!M977=1,'Original Data'!M977="Yes",'Original Data'!M977=TRUE),"Yes")</f>
        <v>Yes</v>
      </c>
    </row>
    <row r="978" spans="1:13" x14ac:dyDescent="0.2">
      <c r="A978">
        <v>977</v>
      </c>
      <c r="B978" t="s">
        <v>88</v>
      </c>
      <c r="C978" s="5">
        <v>44966</v>
      </c>
      <c r="D978" t="s">
        <v>89</v>
      </c>
      <c r="E978" t="s">
        <v>33</v>
      </c>
      <c r="F978" t="s">
        <v>26</v>
      </c>
      <c r="G978" t="s">
        <v>22</v>
      </c>
      <c r="H978">
        <v>2</v>
      </c>
      <c r="I978" s="7">
        <v>0.1</v>
      </c>
      <c r="J978">
        <v>356.4</v>
      </c>
      <c r="K978" t="str">
        <f>PROPER('Original Data'!K978)</f>
        <v>Cash</v>
      </c>
      <c r="L978" t="s">
        <v>28</v>
      </c>
      <c r="M978" t="str" cm="1">
        <f t="array" ref="M978">_xlfn.IFS(OR('Original Data'!M978=0,'Original Data'!M978="No",'Original Data'!M978=FALSE),"No",OR('Original Data'!M978=1,'Original Data'!M978="Yes",'Original Data'!M978=TRUE),"Yes")</f>
        <v>No</v>
      </c>
    </row>
    <row r="979" spans="1:13" x14ac:dyDescent="0.2">
      <c r="A979">
        <v>978</v>
      </c>
      <c r="B979" t="s">
        <v>42</v>
      </c>
      <c r="C979" s="5">
        <v>45242</v>
      </c>
      <c r="D979" t="s">
        <v>91</v>
      </c>
      <c r="E979" t="s">
        <v>15</v>
      </c>
      <c r="F979" t="s">
        <v>21</v>
      </c>
      <c r="G979" t="s">
        <v>22</v>
      </c>
      <c r="H979">
        <v>5</v>
      </c>
      <c r="I979" s="7">
        <v>0.15</v>
      </c>
      <c r="J979">
        <v>548.25</v>
      </c>
      <c r="K979" t="str">
        <f>PROPER('Original Data'!K979)</f>
        <v>Gift Card</v>
      </c>
      <c r="L979" t="s">
        <v>55</v>
      </c>
      <c r="M979" t="str" cm="1">
        <f t="array" ref="M979">_xlfn.IFS(OR('Original Data'!M979=0,'Original Data'!M979="No",'Original Data'!M979=FALSE),"No",OR('Original Data'!M979=1,'Original Data'!M979="Yes",'Original Data'!M979=TRUE),"Yes")</f>
        <v>Yes</v>
      </c>
    </row>
    <row r="980" spans="1:13" x14ac:dyDescent="0.2">
      <c r="A980">
        <v>979</v>
      </c>
      <c r="B980" t="s">
        <v>68</v>
      </c>
      <c r="C980" s="5">
        <v>45252</v>
      </c>
      <c r="D980" t="s">
        <v>69</v>
      </c>
      <c r="E980" t="s">
        <v>33</v>
      </c>
      <c r="F980" t="s">
        <v>16</v>
      </c>
      <c r="G980" t="s">
        <v>17</v>
      </c>
      <c r="H980">
        <v>1</v>
      </c>
      <c r="I980" s="7">
        <v>0</v>
      </c>
      <c r="J980">
        <v>119</v>
      </c>
      <c r="K980" t="str">
        <f>PROPER('Original Data'!K980)</f>
        <v>Cash</v>
      </c>
      <c r="L980" t="s">
        <v>30</v>
      </c>
      <c r="M980" t="str" cm="1">
        <f t="array" ref="M980">_xlfn.IFS(OR('Original Data'!M980=0,'Original Data'!M980="No",'Original Data'!M980=FALSE),"No",OR('Original Data'!M980=1,'Original Data'!M980="Yes",'Original Data'!M980=TRUE),"Yes")</f>
        <v>No</v>
      </c>
    </row>
    <row r="981" spans="1:13" x14ac:dyDescent="0.2">
      <c r="A981">
        <v>980</v>
      </c>
      <c r="B981" t="s">
        <v>56</v>
      </c>
      <c r="C981" s="5">
        <v>45340</v>
      </c>
      <c r="D981" t="s">
        <v>57</v>
      </c>
      <c r="E981" t="s">
        <v>48</v>
      </c>
      <c r="F981" t="s">
        <v>16</v>
      </c>
      <c r="G981" t="s">
        <v>17</v>
      </c>
      <c r="H981">
        <v>5</v>
      </c>
      <c r="I981" s="7">
        <v>0.1</v>
      </c>
      <c r="J981">
        <v>382.5</v>
      </c>
      <c r="K981" t="str">
        <f>PROPER('Original Data'!K981)</f>
        <v>Credit Card</v>
      </c>
      <c r="L981" t="s">
        <v>30</v>
      </c>
      <c r="M981" t="str" cm="1">
        <f t="array" ref="M981">_xlfn.IFS(OR('Original Data'!M981=0,'Original Data'!M981="No",'Original Data'!M981=FALSE),"No",OR('Original Data'!M981=1,'Original Data'!M981="Yes",'Original Data'!M981=TRUE),"Yes")</f>
        <v>Yes</v>
      </c>
    </row>
    <row r="982" spans="1:13" x14ac:dyDescent="0.2">
      <c r="A982">
        <v>981</v>
      </c>
      <c r="B982" t="s">
        <v>46</v>
      </c>
      <c r="C982" s="5">
        <v>45342</v>
      </c>
      <c r="D982" t="s">
        <v>47</v>
      </c>
      <c r="E982" t="s">
        <v>48</v>
      </c>
      <c r="F982" t="s">
        <v>26</v>
      </c>
      <c r="G982" t="s">
        <v>22</v>
      </c>
      <c r="H982">
        <v>4</v>
      </c>
      <c r="I982" s="7">
        <v>0</v>
      </c>
      <c r="J982">
        <v>199.8</v>
      </c>
      <c r="K982" t="str">
        <f>PROPER('Original Data'!K982)</f>
        <v>Cash</v>
      </c>
      <c r="L982" t="s">
        <v>41</v>
      </c>
      <c r="M982" t="str" cm="1">
        <f t="array" ref="M982">_xlfn.IFS(OR('Original Data'!M982=0,'Original Data'!M982="No",'Original Data'!M982=FALSE),"No",OR('Original Data'!M982=1,'Original Data'!M982="Yes",'Original Data'!M982=TRUE),"Yes")</f>
        <v>No</v>
      </c>
    </row>
    <row r="983" spans="1:13" x14ac:dyDescent="0.2">
      <c r="A983">
        <v>982</v>
      </c>
      <c r="B983" t="s">
        <v>13</v>
      </c>
      <c r="C983" s="5">
        <v>45625</v>
      </c>
      <c r="D983" t="s">
        <v>14</v>
      </c>
      <c r="E983" t="s">
        <v>15</v>
      </c>
      <c r="F983" t="s">
        <v>16</v>
      </c>
      <c r="G983" t="s">
        <v>17</v>
      </c>
      <c r="H983">
        <v>4</v>
      </c>
      <c r="I983" s="7">
        <v>0.05</v>
      </c>
      <c r="J983">
        <v>75.959999999999994</v>
      </c>
      <c r="K983" t="str">
        <f>PROPER('Original Data'!K983)</f>
        <v>Debit Card</v>
      </c>
      <c r="L983" t="s">
        <v>45</v>
      </c>
      <c r="M983" t="str" cm="1">
        <f t="array" ref="M983">_xlfn.IFS(OR('Original Data'!M983=0,'Original Data'!M983="No",'Original Data'!M983=FALSE),"No",OR('Original Data'!M983=1,'Original Data'!M983="Yes",'Original Data'!M983=TRUE),"Yes")</f>
        <v>No</v>
      </c>
    </row>
    <row r="984" spans="1:13" x14ac:dyDescent="0.2">
      <c r="A984">
        <v>983</v>
      </c>
      <c r="B984" t="s">
        <v>58</v>
      </c>
      <c r="C984" s="5">
        <v>45467</v>
      </c>
      <c r="D984" t="s">
        <v>59</v>
      </c>
      <c r="E984" t="s">
        <v>15</v>
      </c>
      <c r="F984" t="s">
        <v>34</v>
      </c>
      <c r="G984" t="s">
        <v>35</v>
      </c>
      <c r="H984">
        <v>4</v>
      </c>
      <c r="I984" s="7">
        <v>0.05</v>
      </c>
      <c r="J984">
        <v>227.81</v>
      </c>
      <c r="K984" t="str">
        <f>PROPER('Original Data'!K984)</f>
        <v>Debit Card</v>
      </c>
      <c r="L984" t="s">
        <v>28</v>
      </c>
      <c r="M984" t="str" cm="1">
        <f t="array" ref="M984">_xlfn.IFS(OR('Original Data'!M984=0,'Original Data'!M984="No",'Original Data'!M984=FALSE),"No",OR('Original Data'!M984=1,'Original Data'!M984="Yes",'Original Data'!M984=TRUE),"Yes")</f>
        <v>Yes</v>
      </c>
    </row>
    <row r="985" spans="1:13" x14ac:dyDescent="0.2">
      <c r="A985">
        <v>984</v>
      </c>
      <c r="B985" t="s">
        <v>64</v>
      </c>
      <c r="C985" s="5">
        <v>45342</v>
      </c>
      <c r="D985" t="s">
        <v>65</v>
      </c>
      <c r="E985" t="s">
        <v>33</v>
      </c>
      <c r="F985" t="s">
        <v>21</v>
      </c>
      <c r="G985" t="s">
        <v>22</v>
      </c>
      <c r="H985">
        <v>5</v>
      </c>
      <c r="I985" s="7">
        <v>0.25</v>
      </c>
      <c r="J985">
        <v>281.06</v>
      </c>
      <c r="K985" t="str">
        <f>PROPER('Original Data'!K985)</f>
        <v>Credit Card</v>
      </c>
      <c r="L985" t="s">
        <v>23</v>
      </c>
      <c r="M985" t="str" cm="1">
        <f t="array" ref="M985">_xlfn.IFS(OR('Original Data'!M985=0,'Original Data'!M985="No",'Original Data'!M985=FALSE),"No",OR('Original Data'!M985=1,'Original Data'!M985="Yes",'Original Data'!M985=TRUE),"Yes")</f>
        <v>No</v>
      </c>
    </row>
    <row r="986" spans="1:13" x14ac:dyDescent="0.2">
      <c r="A986">
        <v>985</v>
      </c>
      <c r="B986" t="s">
        <v>19</v>
      </c>
      <c r="C986" s="5">
        <v>45331</v>
      </c>
      <c r="D986" t="s">
        <v>20</v>
      </c>
      <c r="E986" t="s">
        <v>15</v>
      </c>
      <c r="F986" t="s">
        <v>26</v>
      </c>
      <c r="G986" t="s">
        <v>22</v>
      </c>
      <c r="H986">
        <v>2</v>
      </c>
      <c r="J986">
        <v>179.9</v>
      </c>
      <c r="K986" t="str">
        <f>PROPER('Original Data'!K986)</f>
        <v>Apple Pay</v>
      </c>
      <c r="M986" t="str" cm="1">
        <f t="array" ref="M986">_xlfn.IFS(OR('Original Data'!M986=0,'Original Data'!M986="No",'Original Data'!M986=FALSE),"No",OR('Original Data'!M986=1,'Original Data'!M986="Yes",'Original Data'!M986=TRUE),"Yes")</f>
        <v>Yes</v>
      </c>
    </row>
    <row r="987" spans="1:13" x14ac:dyDescent="0.2">
      <c r="A987">
        <v>986</v>
      </c>
      <c r="B987" t="s">
        <v>24</v>
      </c>
      <c r="C987" s="5">
        <v>45259</v>
      </c>
      <c r="D987" t="s">
        <v>87</v>
      </c>
      <c r="E987" t="s">
        <v>39</v>
      </c>
      <c r="F987" t="s">
        <v>34</v>
      </c>
      <c r="G987" t="s">
        <v>35</v>
      </c>
      <c r="H987">
        <v>2</v>
      </c>
      <c r="I987" s="7">
        <v>0</v>
      </c>
      <c r="J987">
        <v>89.9</v>
      </c>
      <c r="K987" t="str">
        <f>PROPER('Original Data'!K987)</f>
        <v>Cash</v>
      </c>
      <c r="L987" t="s">
        <v>55</v>
      </c>
      <c r="M987" t="str" cm="1">
        <f t="array" ref="M987">_xlfn.IFS(OR('Original Data'!M987=0,'Original Data'!M987="No",'Original Data'!M987=FALSE),"No",OR('Original Data'!M987=1,'Original Data'!M987="Yes",'Original Data'!M987=TRUE),"Yes")</f>
        <v>Yes</v>
      </c>
    </row>
    <row r="988" spans="1:13" x14ac:dyDescent="0.2">
      <c r="A988">
        <v>987</v>
      </c>
      <c r="B988" t="s">
        <v>83</v>
      </c>
      <c r="C988" s="5">
        <v>45185</v>
      </c>
      <c r="D988" t="s">
        <v>84</v>
      </c>
      <c r="E988" t="s">
        <v>48</v>
      </c>
      <c r="F988" t="s">
        <v>34</v>
      </c>
      <c r="G988" t="s">
        <v>35</v>
      </c>
      <c r="H988">
        <v>4</v>
      </c>
      <c r="I988" s="7">
        <v>0.1</v>
      </c>
      <c r="J988">
        <v>179.82</v>
      </c>
      <c r="K988" t="str">
        <f>PROPER('Original Data'!K988)</f>
        <v>Credit Card</v>
      </c>
      <c r="L988" t="s">
        <v>28</v>
      </c>
      <c r="M988" t="str" cm="1">
        <f t="array" ref="M988">_xlfn.IFS(OR('Original Data'!M988=0,'Original Data'!M988="No",'Original Data'!M988=FALSE),"No",OR('Original Data'!M988=1,'Original Data'!M988="Yes",'Original Data'!M988=TRUE),"Yes")</f>
        <v>No</v>
      </c>
    </row>
    <row r="989" spans="1:13" x14ac:dyDescent="0.2">
      <c r="A989">
        <v>988</v>
      </c>
      <c r="B989" t="s">
        <v>61</v>
      </c>
      <c r="C989" s="5">
        <v>44941</v>
      </c>
      <c r="D989" t="s">
        <v>62</v>
      </c>
      <c r="E989" t="s">
        <v>33</v>
      </c>
      <c r="F989" t="s">
        <v>53</v>
      </c>
      <c r="G989" t="s">
        <v>54</v>
      </c>
      <c r="H989">
        <v>3</v>
      </c>
      <c r="I989" s="7">
        <v>0.1</v>
      </c>
      <c r="J989">
        <v>94.47</v>
      </c>
      <c r="K989" t="str">
        <f>PROPER('Original Data'!K989)</f>
        <v>Gift Card</v>
      </c>
      <c r="L989" t="s">
        <v>45</v>
      </c>
      <c r="M989" t="str" cm="1">
        <f t="array" ref="M989">_xlfn.IFS(OR('Original Data'!M989=0,'Original Data'!M989="No",'Original Data'!M989=FALSE),"No",OR('Original Data'!M989=1,'Original Data'!M989="Yes",'Original Data'!M989=TRUE),"Yes")</f>
        <v>No</v>
      </c>
    </row>
    <row r="990" spans="1:13" x14ac:dyDescent="0.2">
      <c r="A990">
        <v>989</v>
      </c>
      <c r="B990" t="s">
        <v>74</v>
      </c>
      <c r="C990" s="5">
        <v>45375</v>
      </c>
      <c r="D990" t="s">
        <v>75</v>
      </c>
      <c r="E990" t="s">
        <v>76</v>
      </c>
      <c r="G990" t="s">
        <v>25</v>
      </c>
      <c r="H990">
        <v>3</v>
      </c>
      <c r="I990" s="7">
        <v>0</v>
      </c>
      <c r="J990">
        <v>134.85</v>
      </c>
      <c r="K990" t="str">
        <f>PROPER('Original Data'!K990)</f>
        <v>Debit Card</v>
      </c>
      <c r="L990" t="s">
        <v>41</v>
      </c>
      <c r="M990" t="str" cm="1">
        <f t="array" ref="M990">_xlfn.IFS(OR('Original Data'!M990=0,'Original Data'!M990="No",'Original Data'!M990=FALSE),"No",OR('Original Data'!M990=1,'Original Data'!M990="Yes",'Original Data'!M990=TRUE),"Yes")</f>
        <v>No</v>
      </c>
    </row>
    <row r="991" spans="1:13" x14ac:dyDescent="0.2">
      <c r="A991">
        <v>990</v>
      </c>
      <c r="B991" t="s">
        <v>78</v>
      </c>
      <c r="C991" s="5">
        <v>45455</v>
      </c>
      <c r="D991" t="s">
        <v>79</v>
      </c>
      <c r="E991" t="s">
        <v>48</v>
      </c>
      <c r="F991" t="s">
        <v>40</v>
      </c>
      <c r="G991" t="s">
        <v>17</v>
      </c>
      <c r="H991">
        <v>3</v>
      </c>
      <c r="I991" s="7">
        <v>0</v>
      </c>
      <c r="J991">
        <v>119.85</v>
      </c>
      <c r="K991" t="str">
        <f>PROPER('Original Data'!K991)</f>
        <v>Apple Pay</v>
      </c>
      <c r="L991" t="s">
        <v>30</v>
      </c>
      <c r="M991" t="str" cm="1">
        <f t="array" ref="M991">_xlfn.IFS(OR('Original Data'!M991=0,'Original Data'!M991="No",'Original Data'!M991=FALSE),"No",OR('Original Data'!M991=1,'Original Data'!M991="Yes",'Original Data'!M991=TRUE),"Yes")</f>
        <v>Yes</v>
      </c>
    </row>
    <row r="992" spans="1:13" x14ac:dyDescent="0.2">
      <c r="A992">
        <v>991</v>
      </c>
      <c r="B992" t="s">
        <v>83</v>
      </c>
      <c r="C992" s="5">
        <v>45262</v>
      </c>
      <c r="D992" t="s">
        <v>84</v>
      </c>
      <c r="E992" t="s">
        <v>48</v>
      </c>
      <c r="F992" t="s">
        <v>66</v>
      </c>
      <c r="G992" t="s">
        <v>67</v>
      </c>
      <c r="H992">
        <v>5</v>
      </c>
      <c r="I992" s="7">
        <v>0</v>
      </c>
      <c r="J992">
        <v>249.75</v>
      </c>
      <c r="K992" t="str">
        <f>PROPER('Original Data'!K992)</f>
        <v>Credit Card</v>
      </c>
      <c r="L992" t="s">
        <v>45</v>
      </c>
      <c r="M992" t="str" cm="1">
        <f t="array" ref="M992">_xlfn.IFS(OR('Original Data'!M992=0,'Original Data'!M992="No",'Original Data'!M992=FALSE),"No",OR('Original Data'!M992=1,'Original Data'!M992="Yes",'Original Data'!M992=TRUE),"Yes")</f>
        <v>No</v>
      </c>
    </row>
    <row r="993" spans="1:13" x14ac:dyDescent="0.2">
      <c r="A993">
        <v>992</v>
      </c>
      <c r="B993" t="s">
        <v>81</v>
      </c>
      <c r="C993" s="5">
        <v>45316</v>
      </c>
      <c r="D993" t="s">
        <v>82</v>
      </c>
      <c r="E993" t="s">
        <v>15</v>
      </c>
      <c r="F993" t="s">
        <v>53</v>
      </c>
      <c r="G993" t="s">
        <v>54</v>
      </c>
      <c r="H993">
        <v>2</v>
      </c>
      <c r="I993" s="7">
        <v>0.2</v>
      </c>
      <c r="J993">
        <v>127.92</v>
      </c>
      <c r="K993" t="str">
        <f>PROPER('Original Data'!K993)</f>
        <v>Credit Card</v>
      </c>
      <c r="L993" t="s">
        <v>49</v>
      </c>
      <c r="M993" t="str" cm="1">
        <f t="array" ref="M993">_xlfn.IFS(OR('Original Data'!M993=0,'Original Data'!M993="No",'Original Data'!M993=FALSE),"No",OR('Original Data'!M993=1,'Original Data'!M993="Yes",'Original Data'!M993=TRUE),"Yes")</f>
        <v>Yes</v>
      </c>
    </row>
    <row r="994" spans="1:13" x14ac:dyDescent="0.2">
      <c r="A994">
        <v>993</v>
      </c>
      <c r="B994" t="s">
        <v>56</v>
      </c>
      <c r="C994" s="5">
        <v>45067</v>
      </c>
      <c r="D994" t="s">
        <v>57</v>
      </c>
      <c r="E994" t="s">
        <v>48</v>
      </c>
      <c r="F994" t="s">
        <v>21</v>
      </c>
      <c r="G994" t="s">
        <v>22</v>
      </c>
      <c r="H994">
        <v>1</v>
      </c>
      <c r="I994" s="7">
        <v>0</v>
      </c>
      <c r="J994">
        <v>85</v>
      </c>
      <c r="K994" t="s">
        <v>90</v>
      </c>
      <c r="L994" t="s">
        <v>55</v>
      </c>
      <c r="M994" t="str" cm="1">
        <f t="array" ref="M994">_xlfn.IFS(OR('Original Data'!M994=0,'Original Data'!M994="No",'Original Data'!M994=FALSE),"No",OR('Original Data'!M994=1,'Original Data'!M994="Yes",'Original Data'!M994=TRUE),"Yes")</f>
        <v>Yes</v>
      </c>
    </row>
    <row r="995" spans="1:13" x14ac:dyDescent="0.2">
      <c r="A995">
        <v>994</v>
      </c>
      <c r="B995" t="s">
        <v>61</v>
      </c>
      <c r="C995" s="5">
        <v>45026</v>
      </c>
      <c r="D995" t="s">
        <v>62</v>
      </c>
      <c r="E995" t="s">
        <v>33</v>
      </c>
      <c r="F995" t="s">
        <v>44</v>
      </c>
      <c r="H995">
        <v>2</v>
      </c>
      <c r="I995" s="7">
        <v>0.05</v>
      </c>
      <c r="J995">
        <v>66.48</v>
      </c>
      <c r="K995" t="str">
        <f>PROPER('Original Data'!K995)</f>
        <v>Cash</v>
      </c>
      <c r="L995" t="s">
        <v>63</v>
      </c>
      <c r="M995" t="str" cm="1">
        <f t="array" ref="M995">_xlfn.IFS(OR('Original Data'!M995=0,'Original Data'!M995="No",'Original Data'!M995=FALSE),"No",OR('Original Data'!M995=1,'Original Data'!M995="Yes",'Original Data'!M995=TRUE),"Yes")</f>
        <v>No</v>
      </c>
    </row>
    <row r="996" spans="1:13" x14ac:dyDescent="0.2">
      <c r="A996">
        <v>995</v>
      </c>
      <c r="B996" t="s">
        <v>71</v>
      </c>
      <c r="C996" s="5">
        <v>45476</v>
      </c>
      <c r="D996" t="s">
        <v>72</v>
      </c>
      <c r="E996" t="s">
        <v>33</v>
      </c>
      <c r="F996" t="s">
        <v>34</v>
      </c>
      <c r="G996" t="s">
        <v>35</v>
      </c>
      <c r="H996">
        <v>1</v>
      </c>
      <c r="I996" s="7">
        <v>0</v>
      </c>
      <c r="J996">
        <v>59.95</v>
      </c>
      <c r="K996" t="s">
        <v>90</v>
      </c>
      <c r="L996" t="s">
        <v>30</v>
      </c>
      <c r="M996" t="str" cm="1">
        <f t="array" ref="M996">_xlfn.IFS(OR('Original Data'!M996=0,'Original Data'!M996="No",'Original Data'!M996=FALSE),"No",OR('Original Data'!M996=1,'Original Data'!M996="Yes",'Original Data'!M996=TRUE),"Yes")</f>
        <v>Yes</v>
      </c>
    </row>
    <row r="997" spans="1:13" x14ac:dyDescent="0.2">
      <c r="A997">
        <v>996</v>
      </c>
      <c r="B997" t="s">
        <v>85</v>
      </c>
      <c r="C997" s="5">
        <v>45523</v>
      </c>
      <c r="D997" t="s">
        <v>86</v>
      </c>
      <c r="E997" t="s">
        <v>76</v>
      </c>
      <c r="F997" t="s">
        <v>34</v>
      </c>
      <c r="G997" t="s">
        <v>35</v>
      </c>
      <c r="H997">
        <v>3</v>
      </c>
      <c r="I997" s="7">
        <v>0</v>
      </c>
      <c r="J997">
        <v>269.85000000000002</v>
      </c>
      <c r="K997" t="s">
        <v>90</v>
      </c>
      <c r="L997" t="s">
        <v>55</v>
      </c>
      <c r="M997" t="str" cm="1">
        <f t="array" ref="M997">_xlfn.IFS(OR('Original Data'!M997=0,'Original Data'!M997="No",'Original Data'!M997=FALSE),"No",OR('Original Data'!M997=1,'Original Data'!M997="Yes",'Original Data'!M997=TRUE),"Yes")</f>
        <v>Yes</v>
      </c>
    </row>
    <row r="998" spans="1:13" x14ac:dyDescent="0.2">
      <c r="A998">
        <v>997</v>
      </c>
      <c r="B998" t="s">
        <v>64</v>
      </c>
      <c r="C998" s="5">
        <v>44973</v>
      </c>
      <c r="D998" t="s">
        <v>65</v>
      </c>
      <c r="E998" t="s">
        <v>33</v>
      </c>
      <c r="F998" t="s">
        <v>26</v>
      </c>
      <c r="G998" t="s">
        <v>22</v>
      </c>
      <c r="H998">
        <v>2</v>
      </c>
      <c r="I998" s="7">
        <v>0</v>
      </c>
      <c r="J998">
        <v>149.9</v>
      </c>
      <c r="K998" t="str">
        <f>PROPER('Original Data'!K998)</f>
        <v>Debit Card</v>
      </c>
      <c r="L998" t="s">
        <v>45</v>
      </c>
      <c r="M998" t="str" cm="1">
        <f t="array" ref="M998">_xlfn.IFS(OR('Original Data'!M998=0,'Original Data'!M998="No",'Original Data'!M998=FALSE),"No",OR('Original Data'!M998=1,'Original Data'!M998="Yes",'Original Data'!M998=TRUE),"Yes")</f>
        <v>No</v>
      </c>
    </row>
    <row r="999" spans="1:13" x14ac:dyDescent="0.2">
      <c r="A999">
        <v>998</v>
      </c>
      <c r="B999" t="s">
        <v>68</v>
      </c>
      <c r="C999" s="5">
        <v>44991</v>
      </c>
      <c r="D999" t="s">
        <v>69</v>
      </c>
      <c r="E999" t="s">
        <v>33</v>
      </c>
      <c r="F999" t="s">
        <v>34</v>
      </c>
      <c r="G999" t="s">
        <v>35</v>
      </c>
      <c r="H999">
        <v>3</v>
      </c>
      <c r="I999" s="7">
        <v>0.2</v>
      </c>
      <c r="J999">
        <v>285.60000000000002</v>
      </c>
      <c r="K999" t="str">
        <f>PROPER('Original Data'!K999)</f>
        <v>Apple Pay</v>
      </c>
      <c r="L999" t="s">
        <v>45</v>
      </c>
      <c r="M999" t="str" cm="1">
        <f t="array" ref="M999">_xlfn.IFS(OR('Original Data'!M999=0,'Original Data'!M999="No",'Original Data'!M999=FALSE),"No",OR('Original Data'!M999=1,'Original Data'!M999="Yes",'Original Data'!M999=TRUE),"Yes")</f>
        <v>No</v>
      </c>
    </row>
    <row r="1000" spans="1:13" x14ac:dyDescent="0.2">
      <c r="A1000">
        <v>999</v>
      </c>
      <c r="B1000" t="s">
        <v>37</v>
      </c>
      <c r="C1000" s="5">
        <v>45372</v>
      </c>
      <c r="D1000" t="s">
        <v>38</v>
      </c>
      <c r="E1000" t="s">
        <v>39</v>
      </c>
      <c r="F1000" t="s">
        <v>66</v>
      </c>
      <c r="G1000" t="s">
        <v>67</v>
      </c>
      <c r="H1000">
        <v>1</v>
      </c>
      <c r="I1000" s="7">
        <v>0</v>
      </c>
      <c r="J1000">
        <v>64.95</v>
      </c>
      <c r="K1000" t="str">
        <f>PROPER('Original Data'!K1000)</f>
        <v>Credit Card</v>
      </c>
      <c r="L1000" t="s">
        <v>28</v>
      </c>
      <c r="M1000" t="str" cm="1">
        <f t="array" ref="M1000">_xlfn.IFS(OR('Original Data'!M1000=0,'Original Data'!M1000="No",'Original Data'!M1000=FALSE),"No",OR('Original Data'!M1000=1,'Original Data'!M1000="Yes",'Original Data'!M1000=TRUE),"Yes")</f>
        <v>Yes</v>
      </c>
    </row>
    <row r="1001" spans="1:13" x14ac:dyDescent="0.2">
      <c r="A1001">
        <v>1000</v>
      </c>
      <c r="B1001" t="s">
        <v>24</v>
      </c>
      <c r="C1001" s="5">
        <v>45103</v>
      </c>
      <c r="D1001" t="s">
        <v>87</v>
      </c>
      <c r="E1001" t="s">
        <v>39</v>
      </c>
      <c r="F1001" t="s">
        <v>40</v>
      </c>
      <c r="G1001" t="s">
        <v>17</v>
      </c>
      <c r="H1001">
        <v>2</v>
      </c>
      <c r="I1001" s="7">
        <v>0.05</v>
      </c>
      <c r="J1001">
        <v>85.4</v>
      </c>
      <c r="K1001" t="str">
        <f>PROPER('Original Data'!K1001)</f>
        <v>Gift Card</v>
      </c>
      <c r="L1001" t="s">
        <v>41</v>
      </c>
      <c r="M1001" t="str" cm="1">
        <f t="array" ref="M1001">_xlfn.IFS(OR('Original Data'!M1001=0,'Original Data'!M1001="No",'Original Data'!M1001=FALSE),"No",OR('Original Data'!M1001=1,'Original Data'!M1001="Yes",'Original Data'!M1001=TRUE),"Yes")</f>
        <v>Yes</v>
      </c>
    </row>
    <row r="1002" spans="1:13" x14ac:dyDescent="0.2">
      <c r="A1002">
        <v>1001</v>
      </c>
      <c r="B1002" t="s">
        <v>74</v>
      </c>
      <c r="C1002" s="5">
        <v>45045</v>
      </c>
      <c r="D1002" t="s">
        <v>75</v>
      </c>
      <c r="E1002" t="s">
        <v>76</v>
      </c>
      <c r="F1002" t="s">
        <v>53</v>
      </c>
      <c r="G1002" t="s">
        <v>54</v>
      </c>
      <c r="H1002">
        <v>5</v>
      </c>
      <c r="I1002" s="7">
        <v>0.25</v>
      </c>
      <c r="J1002">
        <v>168.56</v>
      </c>
      <c r="K1002" t="s">
        <v>90</v>
      </c>
      <c r="L1002" t="s">
        <v>55</v>
      </c>
      <c r="M1002" t="str" cm="1">
        <f t="array" ref="M1002">_xlfn.IFS(OR('Original Data'!M1002=0,'Original Data'!M1002="No",'Original Data'!M1002=FALSE),"No",OR('Original Data'!M1002=1,'Original Data'!M1002="Yes",'Original Data'!M1002=TRUE),"Yes")</f>
        <v>No</v>
      </c>
    </row>
    <row r="1003" spans="1:13" x14ac:dyDescent="0.2">
      <c r="A1003">
        <v>1002</v>
      </c>
      <c r="B1003" t="s">
        <v>58</v>
      </c>
      <c r="C1003" s="5">
        <v>45173</v>
      </c>
      <c r="D1003" t="s">
        <v>59</v>
      </c>
      <c r="E1003" t="s">
        <v>15</v>
      </c>
      <c r="F1003" t="s">
        <v>66</v>
      </c>
      <c r="G1003" t="s">
        <v>67</v>
      </c>
      <c r="H1003">
        <v>5</v>
      </c>
      <c r="I1003" s="7">
        <v>0</v>
      </c>
      <c r="J1003">
        <v>299.75</v>
      </c>
      <c r="K1003" t="str">
        <f>PROPER('Original Data'!K1003)</f>
        <v>Debit Card</v>
      </c>
      <c r="L1003" t="s">
        <v>63</v>
      </c>
      <c r="M1003" t="str" cm="1">
        <f t="array" ref="M1003">_xlfn.IFS(OR('Original Data'!M1003=0,'Original Data'!M1003="No",'Original Data'!M1003=FALSE),"No",OR('Original Data'!M1003=1,'Original Data'!M1003="Yes",'Original Data'!M1003=TRUE),"Yes")</f>
        <v>Yes</v>
      </c>
    </row>
    <row r="1004" spans="1:13" x14ac:dyDescent="0.2">
      <c r="A1004">
        <v>1003</v>
      </c>
      <c r="B1004" t="s">
        <v>56</v>
      </c>
      <c r="C1004" s="5">
        <v>45429</v>
      </c>
      <c r="D1004" t="s">
        <v>57</v>
      </c>
      <c r="E1004" t="s">
        <v>48</v>
      </c>
      <c r="F1004" t="s">
        <v>40</v>
      </c>
      <c r="G1004" t="s">
        <v>17</v>
      </c>
      <c r="H1004">
        <v>2</v>
      </c>
      <c r="I1004" s="7">
        <v>0</v>
      </c>
      <c r="J1004">
        <v>170</v>
      </c>
      <c r="K1004" t="str">
        <f>PROPER('Original Data'!K1004)</f>
        <v>Gift Card</v>
      </c>
      <c r="L1004" t="s">
        <v>23</v>
      </c>
      <c r="M1004" t="str" cm="1">
        <f t="array" ref="M1004">_xlfn.IFS(OR('Original Data'!M1004=0,'Original Data'!M1004="No",'Original Data'!M1004=FALSE),"No",OR('Original Data'!M1004=1,'Original Data'!M1004="Yes",'Original Data'!M1004=TRUE),"Yes")</f>
        <v>Yes</v>
      </c>
    </row>
    <row r="1005" spans="1:13" x14ac:dyDescent="0.2">
      <c r="A1005">
        <v>1004</v>
      </c>
      <c r="B1005" t="s">
        <v>88</v>
      </c>
      <c r="C1005" s="5">
        <v>44957</v>
      </c>
      <c r="D1005" t="s">
        <v>89</v>
      </c>
      <c r="E1005" t="s">
        <v>33</v>
      </c>
      <c r="F1005" t="s">
        <v>16</v>
      </c>
      <c r="G1005" t="s">
        <v>17</v>
      </c>
      <c r="H1005">
        <v>4</v>
      </c>
      <c r="I1005" s="7">
        <v>0</v>
      </c>
      <c r="J1005">
        <v>792</v>
      </c>
      <c r="K1005" t="str">
        <f>PROPER('Original Data'!K1005)</f>
        <v>Cash</v>
      </c>
      <c r="L1005" t="s">
        <v>30</v>
      </c>
      <c r="M1005" t="str" cm="1">
        <f t="array" ref="M1005">_xlfn.IFS(OR('Original Data'!M1005=0,'Original Data'!M1005="No",'Original Data'!M1005=FALSE),"No",OR('Original Data'!M1005=1,'Original Data'!M1005="Yes",'Original Data'!M1005=TRUE),"Yes")</f>
        <v>No</v>
      </c>
    </row>
    <row r="1006" spans="1:13" x14ac:dyDescent="0.2">
      <c r="A1006">
        <v>1005</v>
      </c>
      <c r="B1006" t="s">
        <v>42</v>
      </c>
      <c r="C1006" s="5">
        <v>45478</v>
      </c>
      <c r="D1006" t="s">
        <v>91</v>
      </c>
      <c r="E1006" t="s">
        <v>15</v>
      </c>
      <c r="F1006" t="s">
        <v>16</v>
      </c>
      <c r="G1006" t="s">
        <v>17</v>
      </c>
      <c r="H1006">
        <v>2</v>
      </c>
      <c r="I1006" s="7">
        <v>0.25</v>
      </c>
      <c r="J1006">
        <v>193.5</v>
      </c>
      <c r="K1006" t="str">
        <f>PROPER('Original Data'!K1006)</f>
        <v>Gift Card</v>
      </c>
      <c r="L1006" t="s">
        <v>55</v>
      </c>
      <c r="M1006" t="str" cm="1">
        <f t="array" ref="M1006">_xlfn.IFS(OR('Original Data'!M1006=0,'Original Data'!M1006="No",'Original Data'!M1006=FALSE),"No",OR('Original Data'!M1006=1,'Original Data'!M1006="Yes",'Original Data'!M1006=TRUE),"Yes")</f>
        <v>Yes</v>
      </c>
    </row>
    <row r="1007" spans="1:13" x14ac:dyDescent="0.2">
      <c r="A1007">
        <v>1006</v>
      </c>
      <c r="B1007" t="s">
        <v>50</v>
      </c>
      <c r="C1007" s="5">
        <v>45078</v>
      </c>
      <c r="D1007" t="s">
        <v>51</v>
      </c>
      <c r="E1007" t="s">
        <v>15</v>
      </c>
      <c r="F1007" t="s">
        <v>53</v>
      </c>
      <c r="G1007" t="s">
        <v>54</v>
      </c>
      <c r="H1007">
        <v>3</v>
      </c>
      <c r="I1007" s="7">
        <v>0</v>
      </c>
      <c r="J1007">
        <v>209.85</v>
      </c>
      <c r="K1007" t="s">
        <v>90</v>
      </c>
      <c r="L1007" t="s">
        <v>55</v>
      </c>
      <c r="M1007" t="str" cm="1">
        <f t="array" ref="M1007">_xlfn.IFS(OR('Original Data'!M1007=0,'Original Data'!M1007="No",'Original Data'!M1007=FALSE),"No",OR('Original Data'!M1007=1,'Original Data'!M1007="Yes",'Original Data'!M1007=TRUE),"Yes")</f>
        <v>No</v>
      </c>
    </row>
    <row r="1008" spans="1:13" x14ac:dyDescent="0.2">
      <c r="A1008">
        <v>1007</v>
      </c>
      <c r="B1008" t="s">
        <v>88</v>
      </c>
      <c r="C1008" s="5">
        <v>45372</v>
      </c>
      <c r="D1008" t="s">
        <v>89</v>
      </c>
      <c r="E1008" t="s">
        <v>33</v>
      </c>
      <c r="G1008" t="s">
        <v>25</v>
      </c>
      <c r="H1008">
        <v>4</v>
      </c>
      <c r="I1008" s="7">
        <v>0.25</v>
      </c>
      <c r="J1008">
        <v>594</v>
      </c>
      <c r="K1008" t="s">
        <v>90</v>
      </c>
      <c r="L1008" t="s">
        <v>23</v>
      </c>
      <c r="M1008" t="str" cm="1">
        <f t="array" ref="M1008">_xlfn.IFS(OR('Original Data'!M1008=0,'Original Data'!M1008="No",'Original Data'!M1008=FALSE),"No",OR('Original Data'!M1008=1,'Original Data'!M1008="Yes",'Original Data'!M1008=TRUE),"Yes")</f>
        <v>No</v>
      </c>
    </row>
    <row r="1009" spans="1:13" x14ac:dyDescent="0.2">
      <c r="A1009">
        <v>1008</v>
      </c>
      <c r="B1009" t="s">
        <v>78</v>
      </c>
      <c r="C1009" s="5">
        <v>45052</v>
      </c>
      <c r="D1009" t="str">
        <f>VLOOKUP(B1009,'Original Data'!B:D,3,FALSE)</f>
        <v>Cargo Shorts</v>
      </c>
      <c r="E1009" t="str">
        <f>_xlfn.XLOOKUP('Cleaned Data'!B993,'Original Data'!B:B,'Original Data'!E:E)</f>
        <v>GAP</v>
      </c>
      <c r="F1009" t="s">
        <v>53</v>
      </c>
      <c r="G1009" t="s">
        <v>54</v>
      </c>
      <c r="H1009">
        <v>2</v>
      </c>
      <c r="I1009" s="7">
        <v>0.2</v>
      </c>
      <c r="J1009">
        <v>63.92</v>
      </c>
      <c r="K1009" t="s">
        <v>90</v>
      </c>
      <c r="L1009" t="s">
        <v>28</v>
      </c>
      <c r="M1009" t="s">
        <v>92</v>
      </c>
    </row>
    <row r="1010" spans="1:13" x14ac:dyDescent="0.2">
      <c r="A1010">
        <v>1009</v>
      </c>
      <c r="B1010" t="s">
        <v>58</v>
      </c>
      <c r="C1010" s="5">
        <v>45343</v>
      </c>
      <c r="D1010" t="s">
        <v>59</v>
      </c>
      <c r="E1010" t="s">
        <v>15</v>
      </c>
      <c r="F1010" t="s">
        <v>21</v>
      </c>
      <c r="G1010" t="s">
        <v>22</v>
      </c>
      <c r="H1010">
        <v>5</v>
      </c>
      <c r="I1010" s="7">
        <v>0</v>
      </c>
      <c r="J1010">
        <v>299.75</v>
      </c>
      <c r="K1010" t="str">
        <f>PROPER('Original Data'!K1010)</f>
        <v>Credit Card</v>
      </c>
      <c r="L1010" t="s">
        <v>41</v>
      </c>
      <c r="M1010" t="str" cm="1">
        <f t="array" ref="M1010">_xlfn.IFS(OR('Original Data'!M1010=0,'Original Data'!M1010="No",'Original Data'!M1010=FALSE),"No",OR('Original Data'!M1010=1,'Original Data'!M1010="Yes",'Original Data'!M1010=TRUE),"Yes")</f>
        <v>Yes</v>
      </c>
    </row>
    <row r="1011" spans="1:13" x14ac:dyDescent="0.2">
      <c r="A1011">
        <v>1010</v>
      </c>
      <c r="B1011" t="s">
        <v>61</v>
      </c>
      <c r="C1011" s="5">
        <v>45052</v>
      </c>
      <c r="D1011" t="s">
        <v>62</v>
      </c>
      <c r="E1011" t="s">
        <v>33</v>
      </c>
      <c r="F1011" t="s">
        <v>66</v>
      </c>
      <c r="G1011" t="s">
        <v>67</v>
      </c>
      <c r="H1011">
        <v>1</v>
      </c>
      <c r="I1011" s="7">
        <v>0</v>
      </c>
      <c r="J1011">
        <v>34.99</v>
      </c>
      <c r="K1011" t="str">
        <f>PROPER('Original Data'!K1011)</f>
        <v>Credit Card</v>
      </c>
      <c r="L1011" t="s">
        <v>30</v>
      </c>
      <c r="M1011" t="str" cm="1">
        <f t="array" ref="M1011">_xlfn.IFS(OR('Original Data'!M1011=0,'Original Data'!M1011="No",'Original Data'!M1011=FALSE),"No",OR('Original Data'!M1011=1,'Original Data'!M1011="Yes",'Original Data'!M1011=TRUE),"Yes")</f>
        <v>No</v>
      </c>
    </row>
    <row r="1012" spans="1:13" x14ac:dyDescent="0.2">
      <c r="A1012">
        <v>1011</v>
      </c>
      <c r="B1012" t="s">
        <v>56</v>
      </c>
      <c r="C1012" s="5">
        <v>45125</v>
      </c>
      <c r="D1012" t="s">
        <v>57</v>
      </c>
      <c r="E1012" t="s">
        <v>48</v>
      </c>
      <c r="F1012" t="s">
        <v>66</v>
      </c>
      <c r="G1012" t="s">
        <v>67</v>
      </c>
      <c r="H1012">
        <v>4</v>
      </c>
      <c r="I1012" s="7">
        <v>0.25</v>
      </c>
      <c r="J1012">
        <v>255</v>
      </c>
      <c r="K1012" t="s">
        <v>90</v>
      </c>
      <c r="L1012" t="s">
        <v>63</v>
      </c>
      <c r="M1012" t="str" cm="1">
        <f t="array" ref="M1012">_xlfn.IFS(OR('Original Data'!M1012=0,'Original Data'!M1012="No",'Original Data'!M1012=FALSE),"No",OR('Original Data'!M1012=1,'Original Data'!M1012="Yes",'Original Data'!M1012=TRUE),"Yes")</f>
        <v>Yes</v>
      </c>
    </row>
    <row r="1013" spans="1:13" x14ac:dyDescent="0.2">
      <c r="A1013">
        <v>1012</v>
      </c>
      <c r="B1013" t="s">
        <v>31</v>
      </c>
      <c r="C1013" s="5">
        <v>45089</v>
      </c>
      <c r="D1013" t="s">
        <v>32</v>
      </c>
      <c r="E1013" t="s">
        <v>33</v>
      </c>
      <c r="F1013" t="s">
        <v>53</v>
      </c>
      <c r="G1013" t="s">
        <v>54</v>
      </c>
      <c r="H1013">
        <v>5</v>
      </c>
      <c r="I1013" s="7">
        <v>0.1</v>
      </c>
      <c r="J1013">
        <v>359.78</v>
      </c>
      <c r="K1013" t="str">
        <f>PROPER('Original Data'!K1013)</f>
        <v>Cash</v>
      </c>
      <c r="L1013" t="s">
        <v>28</v>
      </c>
      <c r="M1013" t="str" cm="1">
        <f t="array" ref="M1013">_xlfn.IFS(OR('Original Data'!M1013=0,'Original Data'!M1013="No",'Original Data'!M1013=FALSE),"No",OR('Original Data'!M1013=1,'Original Data'!M1013="Yes",'Original Data'!M1013=TRUE),"Yes")</f>
        <v>No</v>
      </c>
    </row>
    <row r="1014" spans="1:13" x14ac:dyDescent="0.2">
      <c r="A1014">
        <v>1013</v>
      </c>
      <c r="B1014" t="s">
        <v>42</v>
      </c>
      <c r="C1014" s="5">
        <v>45573</v>
      </c>
      <c r="D1014" t="s">
        <v>91</v>
      </c>
      <c r="E1014" t="s">
        <v>15</v>
      </c>
      <c r="F1014" t="s">
        <v>53</v>
      </c>
      <c r="G1014" t="s">
        <v>54</v>
      </c>
      <c r="H1014">
        <v>4</v>
      </c>
      <c r="I1014" s="7">
        <v>0</v>
      </c>
      <c r="J1014">
        <v>516</v>
      </c>
      <c r="K1014" t="str">
        <f>PROPER('Original Data'!K1014)</f>
        <v>Cash</v>
      </c>
      <c r="L1014" t="s">
        <v>28</v>
      </c>
      <c r="M1014" t="str" cm="1">
        <f t="array" ref="M1014">_xlfn.IFS(OR('Original Data'!M1014=0,'Original Data'!M1014="No",'Original Data'!M1014=FALSE),"No",OR('Original Data'!M1014=1,'Original Data'!M1014="Yes",'Original Data'!M1014=TRUE),"Yes")</f>
        <v>Yes</v>
      </c>
    </row>
    <row r="1015" spans="1:13" x14ac:dyDescent="0.2">
      <c r="A1015">
        <v>1014</v>
      </c>
      <c r="B1015" t="s">
        <v>88</v>
      </c>
      <c r="C1015" s="5">
        <v>44950</v>
      </c>
      <c r="D1015" t="s">
        <v>89</v>
      </c>
      <c r="E1015" t="s">
        <v>33</v>
      </c>
      <c r="F1015" t="s">
        <v>40</v>
      </c>
      <c r="G1015" t="s">
        <v>17</v>
      </c>
      <c r="H1015">
        <v>5</v>
      </c>
      <c r="I1015" s="7">
        <v>0</v>
      </c>
      <c r="J1015">
        <v>990</v>
      </c>
      <c r="K1015" t="str">
        <f>PROPER('Original Data'!K1015)</f>
        <v>Debit Card</v>
      </c>
      <c r="L1015" t="s">
        <v>30</v>
      </c>
      <c r="M1015" t="str" cm="1">
        <f t="array" ref="M1015">_xlfn.IFS(OR('Original Data'!M1015=0,'Original Data'!M1015="No",'Original Data'!M1015=FALSE),"No",OR('Original Data'!M1015=1,'Original Data'!M1015="Yes",'Original Data'!M1015=TRUE),"Yes")</f>
        <v>No</v>
      </c>
    </row>
    <row r="1016" spans="1:13" x14ac:dyDescent="0.2">
      <c r="A1016">
        <v>1015</v>
      </c>
      <c r="B1016" t="s">
        <v>19</v>
      </c>
      <c r="C1016" s="5">
        <v>45641</v>
      </c>
      <c r="D1016" t="s">
        <v>20</v>
      </c>
      <c r="E1016" t="s">
        <v>15</v>
      </c>
      <c r="F1016" t="s">
        <v>26</v>
      </c>
      <c r="G1016" t="s">
        <v>22</v>
      </c>
      <c r="H1016">
        <v>1</v>
      </c>
      <c r="I1016" s="7">
        <v>0.15</v>
      </c>
      <c r="J1016">
        <v>76.459999999999994</v>
      </c>
      <c r="K1016" t="s">
        <v>90</v>
      </c>
      <c r="L1016" t="s">
        <v>63</v>
      </c>
      <c r="M1016" t="str" cm="1">
        <f t="array" ref="M1016">_xlfn.IFS(OR('Original Data'!M1016=0,'Original Data'!M1016="No",'Original Data'!M1016=FALSE),"No",OR('Original Data'!M1016=1,'Original Data'!M1016="Yes",'Original Data'!M1016=TRUE),"Yes")</f>
        <v>Yes</v>
      </c>
    </row>
    <row r="1017" spans="1:13" x14ac:dyDescent="0.2">
      <c r="A1017">
        <v>1016</v>
      </c>
      <c r="B1017" t="s">
        <v>58</v>
      </c>
      <c r="C1017" s="5">
        <v>45136</v>
      </c>
      <c r="D1017" t="s">
        <v>59</v>
      </c>
      <c r="E1017" t="s">
        <v>15</v>
      </c>
      <c r="F1017" t="s">
        <v>40</v>
      </c>
      <c r="G1017" t="s">
        <v>17</v>
      </c>
      <c r="H1017">
        <v>3</v>
      </c>
      <c r="I1017" s="7">
        <v>0</v>
      </c>
      <c r="J1017">
        <v>179.85</v>
      </c>
      <c r="K1017" t="str">
        <f>PROPER('Original Data'!K1017)</f>
        <v>Debit Card</v>
      </c>
      <c r="L1017" t="s">
        <v>30</v>
      </c>
      <c r="M1017" t="str" cm="1">
        <f t="array" ref="M1017">_xlfn.IFS(OR('Original Data'!M1017=0,'Original Data'!M1017="No",'Original Data'!M1017=FALSE),"No",OR('Original Data'!M1017=1,'Original Data'!M1017="Yes",'Original Data'!M1017=TRUE),"Yes")</f>
        <v>Yes</v>
      </c>
    </row>
    <row r="1018" spans="1:13" x14ac:dyDescent="0.2">
      <c r="A1018">
        <v>1017</v>
      </c>
      <c r="B1018" t="s">
        <v>61</v>
      </c>
      <c r="C1018" s="5">
        <v>45541</v>
      </c>
      <c r="D1018" t="s">
        <v>62</v>
      </c>
      <c r="E1018" t="s">
        <v>33</v>
      </c>
      <c r="F1018" t="s">
        <v>34</v>
      </c>
      <c r="G1018" t="s">
        <v>35</v>
      </c>
      <c r="H1018">
        <v>1</v>
      </c>
      <c r="I1018" s="7">
        <v>0</v>
      </c>
      <c r="J1018">
        <v>34.99</v>
      </c>
      <c r="K1018" t="str">
        <f>PROPER('Original Data'!K1018)</f>
        <v>Apple Pay</v>
      </c>
      <c r="L1018" t="s">
        <v>55</v>
      </c>
      <c r="M1018" t="str" cm="1">
        <f t="array" ref="M1018">_xlfn.IFS(OR('Original Data'!M1018=0,'Original Data'!M1018="No",'Original Data'!M1018=FALSE),"No",OR('Original Data'!M1018=1,'Original Data'!M1018="Yes",'Original Data'!M1018=TRUE),"Yes")</f>
        <v>No</v>
      </c>
    </row>
    <row r="1019" spans="1:13" x14ac:dyDescent="0.2">
      <c r="A1019">
        <v>1018</v>
      </c>
      <c r="B1019" t="s">
        <v>83</v>
      </c>
      <c r="C1019" s="5">
        <v>45257</v>
      </c>
      <c r="D1019" t="s">
        <v>84</v>
      </c>
      <c r="E1019" t="s">
        <v>48</v>
      </c>
      <c r="G1019" t="s">
        <v>25</v>
      </c>
      <c r="H1019">
        <v>2</v>
      </c>
      <c r="I1019" s="7">
        <v>0</v>
      </c>
      <c r="J1019">
        <v>99.9</v>
      </c>
      <c r="K1019" t="str">
        <f>PROPER('Original Data'!K1019)</f>
        <v>Apple Pay</v>
      </c>
      <c r="L1019" t="s">
        <v>28</v>
      </c>
      <c r="M1019" t="str" cm="1">
        <f t="array" ref="M1019">_xlfn.IFS(OR('Original Data'!M1019=0,'Original Data'!M1019="No",'Original Data'!M1019=FALSE),"No",OR('Original Data'!M1019=1,'Original Data'!M1019="Yes",'Original Data'!M1019=TRUE),"Yes")</f>
        <v>No</v>
      </c>
    </row>
    <row r="1020" spans="1:13" x14ac:dyDescent="0.2">
      <c r="A1020">
        <v>1019</v>
      </c>
      <c r="B1020" t="s">
        <v>74</v>
      </c>
      <c r="C1020" s="5">
        <v>45464</v>
      </c>
      <c r="D1020" t="s">
        <v>75</v>
      </c>
      <c r="E1020" t="s">
        <v>76</v>
      </c>
      <c r="G1020" t="s">
        <v>25</v>
      </c>
      <c r="H1020">
        <v>1</v>
      </c>
      <c r="I1020" s="7">
        <v>0.25</v>
      </c>
      <c r="J1020">
        <v>33.71</v>
      </c>
      <c r="K1020" t="s">
        <v>90</v>
      </c>
      <c r="L1020" t="s">
        <v>28</v>
      </c>
      <c r="M1020" t="str" cm="1">
        <f t="array" ref="M1020">_xlfn.IFS(OR('Original Data'!M1020=0,'Original Data'!M1020="No",'Original Data'!M1020=FALSE),"No",OR('Original Data'!M1020=1,'Original Data'!M1020="Yes",'Original Data'!M1020=TRUE),"Yes")</f>
        <v>No</v>
      </c>
    </row>
    <row r="1021" spans="1:13" x14ac:dyDescent="0.2">
      <c r="A1021">
        <v>1020</v>
      </c>
      <c r="B1021" t="s">
        <v>71</v>
      </c>
      <c r="C1021" s="5">
        <v>45313</v>
      </c>
      <c r="D1021" t="s">
        <v>72</v>
      </c>
      <c r="E1021" t="s">
        <v>33</v>
      </c>
      <c r="F1021" t="s">
        <v>66</v>
      </c>
      <c r="G1021" t="s">
        <v>67</v>
      </c>
      <c r="H1021">
        <v>5</v>
      </c>
      <c r="I1021" s="7">
        <v>0</v>
      </c>
      <c r="J1021">
        <v>299.75</v>
      </c>
      <c r="K1021" t="str">
        <f>PROPER('Original Data'!K1021)</f>
        <v>Apple Pay</v>
      </c>
      <c r="L1021" t="s">
        <v>63</v>
      </c>
      <c r="M1021" t="str" cm="1">
        <f t="array" ref="M1021">_xlfn.IFS(OR('Original Data'!M1021=0,'Original Data'!M1021="No",'Original Data'!M1021=FALSE),"No",OR('Original Data'!M1021=1,'Original Data'!M1021="Yes",'Original Data'!M1021=TRUE),"Yes")</f>
        <v>Yes</v>
      </c>
    </row>
    <row r="1022" spans="1:13" x14ac:dyDescent="0.2">
      <c r="A1022">
        <v>1021</v>
      </c>
      <c r="B1022" t="s">
        <v>71</v>
      </c>
      <c r="C1022" s="5">
        <v>45281</v>
      </c>
      <c r="D1022" t="s">
        <v>72</v>
      </c>
      <c r="E1022" t="s">
        <v>33</v>
      </c>
      <c r="F1022" t="s">
        <v>26</v>
      </c>
      <c r="G1022" t="s">
        <v>22</v>
      </c>
      <c r="H1022">
        <v>2</v>
      </c>
      <c r="I1022" s="7">
        <v>0.2</v>
      </c>
      <c r="J1022">
        <v>95.92</v>
      </c>
      <c r="K1022" t="s">
        <v>90</v>
      </c>
      <c r="L1022" t="s">
        <v>49</v>
      </c>
      <c r="M1022" t="str" cm="1">
        <f t="array" ref="M1022">_xlfn.IFS(OR('Original Data'!M1022=0,'Original Data'!M1022="No",'Original Data'!M1022=FALSE),"No",OR('Original Data'!M1022=1,'Original Data'!M1022="Yes",'Original Data'!M1022=TRUE),"Yes")</f>
        <v>Yes</v>
      </c>
    </row>
    <row r="1023" spans="1:13" x14ac:dyDescent="0.2">
      <c r="A1023">
        <v>1022</v>
      </c>
      <c r="B1023" t="s">
        <v>56</v>
      </c>
      <c r="C1023" s="5">
        <v>45469</v>
      </c>
      <c r="D1023" t="s">
        <v>57</v>
      </c>
      <c r="E1023" t="s">
        <v>48</v>
      </c>
      <c r="F1023" t="s">
        <v>16</v>
      </c>
      <c r="G1023" t="s">
        <v>17</v>
      </c>
      <c r="H1023">
        <v>3</v>
      </c>
      <c r="I1023" s="7">
        <v>0.05</v>
      </c>
      <c r="J1023">
        <v>242.25</v>
      </c>
      <c r="K1023" t="str">
        <f>PROPER('Original Data'!K1023)</f>
        <v>Gift Card</v>
      </c>
      <c r="L1023" t="s">
        <v>63</v>
      </c>
      <c r="M1023" t="str" cm="1">
        <f t="array" ref="M1023">_xlfn.IFS(OR('Original Data'!M1023=0,'Original Data'!M1023="No",'Original Data'!M1023=FALSE),"No",OR('Original Data'!M1023=1,'Original Data'!M1023="Yes",'Original Data'!M1023=TRUE),"Yes")</f>
        <v>Yes</v>
      </c>
    </row>
    <row r="1024" spans="1:13" x14ac:dyDescent="0.2">
      <c r="A1024">
        <v>1023</v>
      </c>
      <c r="B1024" t="s">
        <v>71</v>
      </c>
      <c r="C1024" s="5">
        <v>45389</v>
      </c>
      <c r="D1024" t="s">
        <v>72</v>
      </c>
      <c r="E1024" t="s">
        <v>33</v>
      </c>
      <c r="F1024" t="s">
        <v>34</v>
      </c>
      <c r="G1024" t="s">
        <v>35</v>
      </c>
      <c r="H1024">
        <v>5</v>
      </c>
      <c r="I1024" s="7">
        <v>0</v>
      </c>
      <c r="J1024">
        <v>299.75</v>
      </c>
      <c r="K1024" t="str">
        <f>PROPER('Original Data'!K1024)</f>
        <v>Debit Card</v>
      </c>
      <c r="L1024" t="s">
        <v>55</v>
      </c>
      <c r="M1024" t="str" cm="1">
        <f t="array" ref="M1024">_xlfn.IFS(OR('Original Data'!M1024=0,'Original Data'!M1024="No",'Original Data'!M1024=FALSE),"No",OR('Original Data'!M1024=1,'Original Data'!M1024="Yes",'Original Data'!M1024=TRUE),"Yes")</f>
        <v>Yes</v>
      </c>
    </row>
    <row r="1025" spans="1:13" x14ac:dyDescent="0.2">
      <c r="A1025">
        <v>1024</v>
      </c>
      <c r="B1025" t="s">
        <v>58</v>
      </c>
      <c r="C1025" s="5">
        <v>45431</v>
      </c>
      <c r="D1025" t="s">
        <v>59</v>
      </c>
      <c r="E1025" t="s">
        <v>15</v>
      </c>
      <c r="F1025" t="s">
        <v>21</v>
      </c>
      <c r="G1025" t="s">
        <v>22</v>
      </c>
      <c r="H1025">
        <v>3</v>
      </c>
      <c r="I1025" s="7">
        <v>0</v>
      </c>
      <c r="J1025">
        <v>179.85</v>
      </c>
      <c r="K1025" t="str">
        <f>PROPER('Original Data'!K1025)</f>
        <v>Debit Card</v>
      </c>
      <c r="L1025" t="s">
        <v>49</v>
      </c>
      <c r="M1025" t="str" cm="1">
        <f t="array" ref="M1025">_xlfn.IFS(OR('Original Data'!M1025=0,'Original Data'!M1025="No",'Original Data'!M1025=FALSE),"No",OR('Original Data'!M1025=1,'Original Data'!M1025="Yes",'Original Data'!M1025=TRUE),"Yes")</f>
        <v>Yes</v>
      </c>
    </row>
    <row r="1026" spans="1:13" x14ac:dyDescent="0.2">
      <c r="A1026">
        <v>1025</v>
      </c>
      <c r="B1026" t="s">
        <v>37</v>
      </c>
      <c r="C1026" s="5">
        <v>45334</v>
      </c>
      <c r="D1026" t="s">
        <v>38</v>
      </c>
      <c r="E1026" t="s">
        <v>39</v>
      </c>
      <c r="F1026" t="s">
        <v>26</v>
      </c>
      <c r="G1026" t="s">
        <v>22</v>
      </c>
      <c r="H1026">
        <v>1</v>
      </c>
      <c r="I1026" s="7">
        <v>0.05</v>
      </c>
      <c r="J1026">
        <v>61.7</v>
      </c>
      <c r="K1026" t="str">
        <f>PROPER('Original Data'!K1026)</f>
        <v>Gift Card</v>
      </c>
      <c r="L1026" t="s">
        <v>49</v>
      </c>
      <c r="M1026" t="str" cm="1">
        <f t="array" ref="M1026">_xlfn.IFS(OR('Original Data'!M1026=0,'Original Data'!M1026="No",'Original Data'!M1026=FALSE),"No",OR('Original Data'!M1026=1,'Original Data'!M1026="Yes",'Original Data'!M1026=TRUE),"Yes")</f>
        <v>Yes</v>
      </c>
    </row>
    <row r="1027" spans="1:13" x14ac:dyDescent="0.2">
      <c r="A1027">
        <v>1026</v>
      </c>
      <c r="B1027" t="s">
        <v>37</v>
      </c>
      <c r="C1027" s="5">
        <v>45367</v>
      </c>
      <c r="D1027" t="s">
        <v>38</v>
      </c>
      <c r="E1027" t="s">
        <v>39</v>
      </c>
      <c r="F1027" t="s">
        <v>66</v>
      </c>
      <c r="G1027" t="s">
        <v>67</v>
      </c>
      <c r="H1027">
        <v>3</v>
      </c>
      <c r="I1027" s="7">
        <v>0.15</v>
      </c>
      <c r="J1027">
        <v>165.62</v>
      </c>
      <c r="K1027" t="str">
        <f>PROPER('Original Data'!K1027)</f>
        <v>Credit Card</v>
      </c>
      <c r="L1027" t="s">
        <v>49</v>
      </c>
      <c r="M1027" t="str" cm="1">
        <f t="array" ref="M1027">_xlfn.IFS(OR('Original Data'!M1027=0,'Original Data'!M1027="No",'Original Data'!M1027=FALSE),"No",OR('Original Data'!M1027=1,'Original Data'!M1027="Yes",'Original Data'!M1027=TRUE),"Yes")</f>
        <v>Yes</v>
      </c>
    </row>
    <row r="1028" spans="1:13" x14ac:dyDescent="0.2">
      <c r="A1028">
        <v>1027</v>
      </c>
      <c r="B1028" t="s">
        <v>78</v>
      </c>
      <c r="C1028" s="5">
        <v>45174</v>
      </c>
      <c r="D1028" t="s">
        <v>79</v>
      </c>
      <c r="E1028" t="s">
        <v>48</v>
      </c>
      <c r="F1028" t="s">
        <v>34</v>
      </c>
      <c r="G1028" t="s">
        <v>35</v>
      </c>
      <c r="H1028">
        <v>3</v>
      </c>
      <c r="I1028" s="7">
        <v>0.1</v>
      </c>
      <c r="J1028">
        <v>107.86</v>
      </c>
      <c r="K1028" t="str">
        <f>PROPER('Original Data'!K1028)</f>
        <v>Credit Card</v>
      </c>
      <c r="L1028" t="s">
        <v>23</v>
      </c>
      <c r="M1028" t="str" cm="1">
        <f t="array" ref="M1028">_xlfn.IFS(OR('Original Data'!M1028=0,'Original Data'!M1028="No",'Original Data'!M1028=FALSE),"No",OR('Original Data'!M1028=1,'Original Data'!M1028="Yes",'Original Data'!M1028=TRUE),"Yes")</f>
        <v>Yes</v>
      </c>
    </row>
    <row r="1029" spans="1:13" x14ac:dyDescent="0.2">
      <c r="A1029">
        <v>1028</v>
      </c>
      <c r="B1029" t="s">
        <v>85</v>
      </c>
      <c r="C1029" s="5">
        <v>45310</v>
      </c>
      <c r="D1029" t="s">
        <v>86</v>
      </c>
      <c r="E1029" t="s">
        <v>76</v>
      </c>
      <c r="F1029" t="s">
        <v>66</v>
      </c>
      <c r="G1029" t="s">
        <v>67</v>
      </c>
      <c r="H1029">
        <v>1</v>
      </c>
      <c r="I1029" s="7">
        <v>0.05</v>
      </c>
      <c r="J1029">
        <v>85.45</v>
      </c>
      <c r="K1029" t="str">
        <f>PROPER('Original Data'!K1029)</f>
        <v>Apple Pay</v>
      </c>
      <c r="L1029" t="s">
        <v>63</v>
      </c>
      <c r="M1029" t="str" cm="1">
        <f t="array" ref="M1029">_xlfn.IFS(OR('Original Data'!M1029=0,'Original Data'!M1029="No",'Original Data'!M1029=FALSE),"No",OR('Original Data'!M1029=1,'Original Data'!M1029="Yes",'Original Data'!M1029=TRUE),"Yes")</f>
        <v>Yes</v>
      </c>
    </row>
    <row r="1030" spans="1:13" x14ac:dyDescent="0.2">
      <c r="A1030">
        <v>1029</v>
      </c>
      <c r="B1030" t="s">
        <v>81</v>
      </c>
      <c r="C1030" s="5">
        <v>45514</v>
      </c>
      <c r="D1030" t="s">
        <v>82</v>
      </c>
      <c r="E1030" t="s">
        <v>15</v>
      </c>
      <c r="F1030" t="s">
        <v>40</v>
      </c>
      <c r="G1030" t="s">
        <v>17</v>
      </c>
      <c r="H1030">
        <v>5</v>
      </c>
      <c r="I1030" s="7">
        <v>0</v>
      </c>
      <c r="J1030">
        <v>399.75</v>
      </c>
      <c r="K1030" t="str">
        <f>PROPER('Original Data'!K1030)</f>
        <v>Cash</v>
      </c>
      <c r="L1030" t="s">
        <v>30</v>
      </c>
      <c r="M1030" t="str" cm="1">
        <f t="array" ref="M1030">_xlfn.IFS(OR('Original Data'!M1030=0,'Original Data'!M1030="No",'Original Data'!M1030=FALSE),"No",OR('Original Data'!M1030=1,'Original Data'!M1030="Yes",'Original Data'!M1030=TRUE),"Yes")</f>
        <v>Yes</v>
      </c>
    </row>
    <row r="1031" spans="1:13" x14ac:dyDescent="0.2">
      <c r="A1031">
        <v>1030</v>
      </c>
      <c r="B1031" t="s">
        <v>71</v>
      </c>
      <c r="C1031" s="5">
        <v>45584</v>
      </c>
      <c r="D1031" t="s">
        <v>72</v>
      </c>
      <c r="E1031" t="s">
        <v>33</v>
      </c>
      <c r="F1031" t="s">
        <v>21</v>
      </c>
      <c r="G1031" t="s">
        <v>22</v>
      </c>
      <c r="H1031">
        <v>5</v>
      </c>
      <c r="I1031" s="7">
        <v>0.2</v>
      </c>
      <c r="J1031">
        <v>239.8</v>
      </c>
      <c r="K1031" t="s">
        <v>90</v>
      </c>
      <c r="L1031" t="s">
        <v>30</v>
      </c>
      <c r="M1031" t="str" cm="1">
        <f t="array" ref="M1031">_xlfn.IFS(OR('Original Data'!M1031=0,'Original Data'!M1031="No",'Original Data'!M1031=FALSE),"No",OR('Original Data'!M1031=1,'Original Data'!M1031="Yes",'Original Data'!M1031=TRUE),"Yes")</f>
        <v>Yes</v>
      </c>
    </row>
    <row r="1032" spans="1:13" x14ac:dyDescent="0.2">
      <c r="A1032">
        <v>1031</v>
      </c>
      <c r="B1032" t="s">
        <v>81</v>
      </c>
      <c r="C1032" s="5">
        <v>45505</v>
      </c>
      <c r="D1032" t="s">
        <v>82</v>
      </c>
      <c r="E1032" t="s">
        <v>15</v>
      </c>
      <c r="F1032" t="s">
        <v>40</v>
      </c>
      <c r="G1032" t="s">
        <v>17</v>
      </c>
      <c r="H1032">
        <v>4</v>
      </c>
      <c r="I1032" s="7">
        <v>0.05</v>
      </c>
      <c r="J1032">
        <v>303.81</v>
      </c>
      <c r="K1032" t="str">
        <f>PROPER('Original Data'!K1032)</f>
        <v>Cash</v>
      </c>
      <c r="L1032" t="s">
        <v>45</v>
      </c>
      <c r="M1032" t="str" cm="1">
        <f t="array" ref="M1032">_xlfn.IFS(OR('Original Data'!M1032=0,'Original Data'!M1032="No",'Original Data'!M1032=FALSE),"No",OR('Original Data'!M1032=1,'Original Data'!M1032="Yes",'Original Data'!M1032=TRUE),"Yes")</f>
        <v>Yes</v>
      </c>
    </row>
    <row r="1033" spans="1:13" x14ac:dyDescent="0.2">
      <c r="A1033">
        <v>1032</v>
      </c>
      <c r="B1033" t="s">
        <v>31</v>
      </c>
      <c r="C1033" s="5">
        <v>45340</v>
      </c>
      <c r="D1033" t="s">
        <v>32</v>
      </c>
      <c r="E1033" t="s">
        <v>33</v>
      </c>
      <c r="F1033" t="s">
        <v>16</v>
      </c>
      <c r="G1033" t="s">
        <v>17</v>
      </c>
      <c r="H1033">
        <v>2</v>
      </c>
      <c r="I1033" s="7">
        <v>0.1</v>
      </c>
      <c r="J1033">
        <v>143.91</v>
      </c>
      <c r="K1033" t="str">
        <f>PROPER('Original Data'!K1033)</f>
        <v>Gift Card</v>
      </c>
      <c r="L1033" t="s">
        <v>45</v>
      </c>
      <c r="M1033" t="str" cm="1">
        <f t="array" ref="M1033">_xlfn.IFS(OR('Original Data'!M1033=0,'Original Data'!M1033="No",'Original Data'!M1033=FALSE),"No",OR('Original Data'!M1033=1,'Original Data'!M1033="Yes",'Original Data'!M1033=TRUE),"Yes")</f>
        <v>No</v>
      </c>
    </row>
    <row r="1034" spans="1:13" x14ac:dyDescent="0.2">
      <c r="A1034">
        <v>1033</v>
      </c>
      <c r="B1034" t="s">
        <v>13</v>
      </c>
      <c r="C1034" s="5">
        <v>45502</v>
      </c>
      <c r="D1034" t="s">
        <v>14</v>
      </c>
      <c r="E1034" t="s">
        <v>15</v>
      </c>
      <c r="F1034" t="s">
        <v>21</v>
      </c>
      <c r="G1034" t="s">
        <v>22</v>
      </c>
      <c r="H1034">
        <v>4</v>
      </c>
      <c r="I1034" s="7">
        <v>0</v>
      </c>
      <c r="J1034">
        <v>79.959999999999994</v>
      </c>
      <c r="K1034" t="str">
        <f>PROPER('Original Data'!K1034)</f>
        <v>Cash</v>
      </c>
      <c r="L1034" t="s">
        <v>63</v>
      </c>
      <c r="M1034" t="str" cm="1">
        <f t="array" ref="M1034">_xlfn.IFS(OR('Original Data'!M1034=0,'Original Data'!M1034="No",'Original Data'!M1034=FALSE),"No",OR('Original Data'!M1034=1,'Original Data'!M1034="Yes",'Original Data'!M1034=TRUE),"Yes")</f>
        <v>No</v>
      </c>
    </row>
    <row r="1035" spans="1:13" x14ac:dyDescent="0.2">
      <c r="A1035">
        <v>1034</v>
      </c>
      <c r="B1035" t="s">
        <v>50</v>
      </c>
      <c r="C1035" s="5">
        <v>45047</v>
      </c>
      <c r="D1035" t="s">
        <v>51</v>
      </c>
      <c r="E1035" t="s">
        <v>15</v>
      </c>
      <c r="F1035" t="s">
        <v>26</v>
      </c>
      <c r="G1035" t="s">
        <v>22</v>
      </c>
      <c r="H1035">
        <v>1</v>
      </c>
      <c r="J1035">
        <v>69.95</v>
      </c>
      <c r="K1035" t="str">
        <f>PROPER('Original Data'!K1035)</f>
        <v>Apple Pay</v>
      </c>
      <c r="L1035" t="s">
        <v>28</v>
      </c>
      <c r="M1035" t="str" cm="1">
        <f t="array" ref="M1035">_xlfn.IFS(OR('Original Data'!M1035=0,'Original Data'!M1035="No",'Original Data'!M1035=FALSE),"No",OR('Original Data'!M1035=1,'Original Data'!M1035="Yes",'Original Data'!M1035=TRUE),"Yes")</f>
        <v>No</v>
      </c>
    </row>
    <row r="1036" spans="1:13" x14ac:dyDescent="0.2">
      <c r="A1036">
        <v>1035</v>
      </c>
      <c r="B1036" t="s">
        <v>42</v>
      </c>
      <c r="C1036" s="5">
        <v>45343</v>
      </c>
      <c r="D1036" t="s">
        <v>91</v>
      </c>
      <c r="E1036" t="s">
        <v>15</v>
      </c>
      <c r="F1036" t="s">
        <v>53</v>
      </c>
      <c r="G1036" t="s">
        <v>54</v>
      </c>
      <c r="H1036">
        <v>5</v>
      </c>
      <c r="I1036" s="7">
        <v>0.2</v>
      </c>
      <c r="J1036">
        <v>516</v>
      </c>
      <c r="K1036" t="str">
        <f>PROPER('Original Data'!K1036)</f>
        <v>Cash</v>
      </c>
      <c r="L1036" t="s">
        <v>28</v>
      </c>
      <c r="M1036" t="str" cm="1">
        <f t="array" ref="M1036">_xlfn.IFS(OR('Original Data'!M1036=0,'Original Data'!M1036="No",'Original Data'!M1036=FALSE),"No",OR('Original Data'!M1036=1,'Original Data'!M1036="Yes",'Original Data'!M1036=TRUE),"Yes")</f>
        <v>Yes</v>
      </c>
    </row>
    <row r="1037" spans="1:13" x14ac:dyDescent="0.2">
      <c r="A1037">
        <v>1036</v>
      </c>
      <c r="B1037" t="s">
        <v>78</v>
      </c>
      <c r="C1037" s="5">
        <v>45123</v>
      </c>
      <c r="D1037" t="s">
        <v>79</v>
      </c>
      <c r="E1037" t="s">
        <v>48</v>
      </c>
      <c r="F1037" t="s">
        <v>34</v>
      </c>
      <c r="G1037" t="s">
        <v>35</v>
      </c>
      <c r="H1037">
        <v>3</v>
      </c>
      <c r="I1037" s="7">
        <v>0.15</v>
      </c>
      <c r="J1037">
        <v>101.87</v>
      </c>
      <c r="K1037" t="str">
        <f>PROPER('Original Data'!K1037)</f>
        <v>Cash</v>
      </c>
      <c r="L1037" t="s">
        <v>55</v>
      </c>
      <c r="M1037" t="str" cm="1">
        <f t="array" ref="M1037">_xlfn.IFS(OR('Original Data'!M1037=0,'Original Data'!M1037="No",'Original Data'!M1037=FALSE),"No",OR('Original Data'!M1037=1,'Original Data'!M1037="Yes",'Original Data'!M1037=TRUE),"Yes")</f>
        <v>Yes</v>
      </c>
    </row>
    <row r="1038" spans="1:13" x14ac:dyDescent="0.2">
      <c r="A1038">
        <v>1037</v>
      </c>
      <c r="B1038" t="s">
        <v>31</v>
      </c>
      <c r="C1038" s="5">
        <v>45610</v>
      </c>
      <c r="D1038" t="s">
        <v>32</v>
      </c>
      <c r="E1038" t="s">
        <v>33</v>
      </c>
      <c r="F1038" t="s">
        <v>26</v>
      </c>
      <c r="G1038" t="s">
        <v>22</v>
      </c>
      <c r="H1038">
        <v>4</v>
      </c>
      <c r="I1038" s="7">
        <v>0.05</v>
      </c>
      <c r="J1038">
        <v>303.81</v>
      </c>
      <c r="K1038" t="str">
        <f>PROPER('Original Data'!K1038)</f>
        <v>Credit Card</v>
      </c>
      <c r="L1038" t="s">
        <v>23</v>
      </c>
      <c r="M1038" t="str" cm="1">
        <f t="array" ref="M1038">_xlfn.IFS(OR('Original Data'!M1038=0,'Original Data'!M1038="No",'Original Data'!M1038=FALSE),"No",OR('Original Data'!M1038=1,'Original Data'!M1038="Yes",'Original Data'!M1038=TRUE),"Yes")</f>
        <v>No</v>
      </c>
    </row>
    <row r="1039" spans="1:13" x14ac:dyDescent="0.2">
      <c r="A1039">
        <v>1038</v>
      </c>
      <c r="B1039" t="s">
        <v>42</v>
      </c>
      <c r="C1039" s="5">
        <v>44994</v>
      </c>
      <c r="D1039" t="s">
        <v>91</v>
      </c>
      <c r="E1039" t="s">
        <v>15</v>
      </c>
      <c r="F1039" t="s">
        <v>16</v>
      </c>
      <c r="G1039" t="s">
        <v>17</v>
      </c>
      <c r="H1039">
        <v>2</v>
      </c>
      <c r="I1039" s="7">
        <v>0.15</v>
      </c>
      <c r="J1039">
        <v>219.3</v>
      </c>
      <c r="K1039" t="str">
        <f>PROPER('Original Data'!K1039)</f>
        <v>Credit Card</v>
      </c>
      <c r="L1039" t="s">
        <v>23</v>
      </c>
      <c r="M1039" t="str" cm="1">
        <f t="array" ref="M1039">_xlfn.IFS(OR('Original Data'!M1039=0,'Original Data'!M1039="No",'Original Data'!M1039=FALSE),"No",OR('Original Data'!M1039=1,'Original Data'!M1039="Yes",'Original Data'!M1039=TRUE),"Yes")</f>
        <v>Yes</v>
      </c>
    </row>
    <row r="1040" spans="1:13" x14ac:dyDescent="0.2">
      <c r="A1040">
        <v>1039</v>
      </c>
      <c r="B1040" t="s">
        <v>78</v>
      </c>
      <c r="C1040" s="5">
        <v>45074</v>
      </c>
      <c r="D1040" t="s">
        <v>79</v>
      </c>
      <c r="E1040" t="s">
        <v>48</v>
      </c>
      <c r="F1040" t="s">
        <v>66</v>
      </c>
      <c r="G1040" t="s">
        <v>67</v>
      </c>
      <c r="H1040">
        <v>2</v>
      </c>
      <c r="I1040" s="7">
        <v>0</v>
      </c>
      <c r="J1040">
        <v>79.900000000000006</v>
      </c>
      <c r="K1040" t="str">
        <f>PROPER('Original Data'!K1040)</f>
        <v>Apple Pay</v>
      </c>
      <c r="L1040" t="s">
        <v>28</v>
      </c>
      <c r="M1040" t="str" cm="1">
        <f t="array" ref="M1040">_xlfn.IFS(OR('Original Data'!M1040=0,'Original Data'!M1040="No",'Original Data'!M1040=FALSE),"No",OR('Original Data'!M1040=1,'Original Data'!M1040="Yes",'Original Data'!M1040=TRUE),"Yes")</f>
        <v>Yes</v>
      </c>
    </row>
    <row r="1041" spans="1:13" x14ac:dyDescent="0.2">
      <c r="A1041">
        <v>1040</v>
      </c>
      <c r="B1041" t="s">
        <v>61</v>
      </c>
      <c r="C1041" s="5">
        <v>45067</v>
      </c>
      <c r="D1041" t="s">
        <v>62</v>
      </c>
      <c r="E1041" t="s">
        <v>33</v>
      </c>
      <c r="G1041" t="s">
        <v>25</v>
      </c>
      <c r="H1041">
        <v>4</v>
      </c>
      <c r="I1041" s="7">
        <v>0.2</v>
      </c>
      <c r="J1041">
        <v>111.97</v>
      </c>
      <c r="K1041" t="s">
        <v>90</v>
      </c>
      <c r="L1041" t="s">
        <v>45</v>
      </c>
      <c r="M1041" t="str" cm="1">
        <f t="array" ref="M1041">_xlfn.IFS(OR('Original Data'!M1041=0,'Original Data'!M1041="No",'Original Data'!M1041=FALSE),"No",OR('Original Data'!M1041=1,'Original Data'!M1041="Yes",'Original Data'!M1041=TRUE),"Yes")</f>
        <v>No</v>
      </c>
    </row>
    <row r="1042" spans="1:13" x14ac:dyDescent="0.2">
      <c r="A1042">
        <v>1041</v>
      </c>
      <c r="B1042" t="s">
        <v>81</v>
      </c>
      <c r="C1042" s="5">
        <v>45333</v>
      </c>
      <c r="D1042" t="s">
        <v>82</v>
      </c>
      <c r="E1042" t="s">
        <v>15</v>
      </c>
      <c r="F1042" t="s">
        <v>66</v>
      </c>
      <c r="G1042" t="s">
        <v>67</v>
      </c>
      <c r="H1042">
        <v>5</v>
      </c>
      <c r="I1042" s="7">
        <v>0</v>
      </c>
      <c r="J1042">
        <v>399.75</v>
      </c>
      <c r="K1042" t="str">
        <f>PROPER('Original Data'!K1042)</f>
        <v>Credit Card</v>
      </c>
      <c r="L1042" t="s">
        <v>30</v>
      </c>
      <c r="M1042" t="str" cm="1">
        <f t="array" ref="M1042">_xlfn.IFS(OR('Original Data'!M1042=0,'Original Data'!M1042="No",'Original Data'!M1042=FALSE),"No",OR('Original Data'!M1042=1,'Original Data'!M1042="Yes",'Original Data'!M1042=TRUE),"Yes")</f>
        <v>Yes</v>
      </c>
    </row>
    <row r="1043" spans="1:13" x14ac:dyDescent="0.2">
      <c r="A1043">
        <v>1042</v>
      </c>
      <c r="B1043" t="s">
        <v>31</v>
      </c>
      <c r="C1043" s="5">
        <v>45405</v>
      </c>
      <c r="D1043" t="s">
        <v>32</v>
      </c>
      <c r="E1043" t="s">
        <v>33</v>
      </c>
      <c r="F1043" t="s">
        <v>40</v>
      </c>
      <c r="G1043" t="s">
        <v>17</v>
      </c>
      <c r="H1043">
        <v>2</v>
      </c>
      <c r="I1043" s="7">
        <v>0.15</v>
      </c>
      <c r="J1043">
        <v>135.91999999999999</v>
      </c>
      <c r="K1043" t="str">
        <f>PROPER('Original Data'!K1043)</f>
        <v>Credit Card</v>
      </c>
      <c r="L1043" t="s">
        <v>28</v>
      </c>
      <c r="M1043" t="str" cm="1">
        <f t="array" ref="M1043">_xlfn.IFS(OR('Original Data'!M1043=0,'Original Data'!M1043="No",'Original Data'!M1043=FALSE),"No",OR('Original Data'!M1043=1,'Original Data'!M1043="Yes",'Original Data'!M1043=TRUE),"Yes")</f>
        <v>No</v>
      </c>
    </row>
    <row r="1044" spans="1:13" x14ac:dyDescent="0.2">
      <c r="A1044">
        <v>1043</v>
      </c>
      <c r="B1044" t="s">
        <v>46</v>
      </c>
      <c r="C1044" s="5">
        <v>45612</v>
      </c>
      <c r="D1044" t="s">
        <v>47</v>
      </c>
      <c r="E1044" t="s">
        <v>48</v>
      </c>
      <c r="F1044" t="s">
        <v>21</v>
      </c>
      <c r="G1044" t="s">
        <v>22</v>
      </c>
      <c r="H1044">
        <v>2</v>
      </c>
      <c r="I1044" s="7">
        <v>0.2</v>
      </c>
      <c r="J1044">
        <v>79.92</v>
      </c>
      <c r="K1044" t="s">
        <v>90</v>
      </c>
      <c r="L1044" t="s">
        <v>63</v>
      </c>
      <c r="M1044" t="str" cm="1">
        <f t="array" ref="M1044">_xlfn.IFS(OR('Original Data'!M1044=0,'Original Data'!M1044="No",'Original Data'!M1044=FALSE),"No",OR('Original Data'!M1044=1,'Original Data'!M1044="Yes",'Original Data'!M1044=TRUE),"Yes")</f>
        <v>No</v>
      </c>
    </row>
    <row r="1045" spans="1:13" x14ac:dyDescent="0.2">
      <c r="A1045">
        <v>1044</v>
      </c>
      <c r="B1045" t="s">
        <v>50</v>
      </c>
      <c r="C1045" s="5">
        <v>45257</v>
      </c>
      <c r="D1045" t="s">
        <v>51</v>
      </c>
      <c r="E1045" t="s">
        <v>15</v>
      </c>
      <c r="F1045" t="s">
        <v>53</v>
      </c>
      <c r="G1045" t="s">
        <v>54</v>
      </c>
      <c r="H1045">
        <v>3</v>
      </c>
      <c r="I1045" s="7">
        <v>0</v>
      </c>
      <c r="J1045">
        <v>209.85</v>
      </c>
      <c r="K1045" t="s">
        <v>90</v>
      </c>
      <c r="L1045" t="s">
        <v>45</v>
      </c>
      <c r="M1045" t="str" cm="1">
        <f t="array" ref="M1045">_xlfn.IFS(OR('Original Data'!M1045=0,'Original Data'!M1045="No",'Original Data'!M1045=FALSE),"No",OR('Original Data'!M1045=1,'Original Data'!M1045="Yes",'Original Data'!M1045=TRUE),"Yes")</f>
        <v>No</v>
      </c>
    </row>
    <row r="1046" spans="1:13" x14ac:dyDescent="0.2">
      <c r="A1046">
        <v>1045</v>
      </c>
      <c r="B1046" t="s">
        <v>64</v>
      </c>
      <c r="C1046" s="5">
        <v>45037</v>
      </c>
      <c r="D1046" t="str">
        <f>VLOOKUP(B1046,'Original Data'!B:D,3,FALSE)</f>
        <v>Wool Sweater</v>
      </c>
      <c r="E1046" t="str">
        <f>_xlfn.XLOOKUP('Cleaned Data'!B519,'Original Data'!B:B,'Original Data'!E:E)</f>
        <v>NULL</v>
      </c>
      <c r="F1046" t="s">
        <v>34</v>
      </c>
      <c r="G1046" t="s">
        <v>35</v>
      </c>
      <c r="H1046">
        <v>1</v>
      </c>
      <c r="I1046" s="7">
        <v>0.2</v>
      </c>
      <c r="J1046">
        <v>59.96</v>
      </c>
      <c r="K1046" t="s">
        <v>90</v>
      </c>
      <c r="L1046" t="s">
        <v>41</v>
      </c>
      <c r="M1046" t="s">
        <v>92</v>
      </c>
    </row>
    <row r="1047" spans="1:13" x14ac:dyDescent="0.2">
      <c r="A1047">
        <v>1046</v>
      </c>
      <c r="B1047" t="s">
        <v>81</v>
      </c>
      <c r="C1047" s="5">
        <v>45125</v>
      </c>
      <c r="D1047" t="s">
        <v>82</v>
      </c>
      <c r="E1047" t="s">
        <v>15</v>
      </c>
      <c r="F1047" t="s">
        <v>44</v>
      </c>
      <c r="H1047">
        <v>5</v>
      </c>
      <c r="I1047" s="7">
        <v>0</v>
      </c>
      <c r="J1047">
        <v>399.75</v>
      </c>
      <c r="K1047" t="str">
        <f>PROPER('Original Data'!K1047)</f>
        <v>Apple Pay</v>
      </c>
      <c r="L1047" t="s">
        <v>55</v>
      </c>
      <c r="M1047" t="str" cm="1">
        <f t="array" ref="M1047">_xlfn.IFS(OR('Original Data'!M1047=0,'Original Data'!M1047="No",'Original Data'!M1047=FALSE),"No",OR('Original Data'!M1047=1,'Original Data'!M1047="Yes",'Original Data'!M1047=TRUE),"Yes")</f>
        <v>Yes</v>
      </c>
    </row>
    <row r="1048" spans="1:13" x14ac:dyDescent="0.2">
      <c r="A1048">
        <v>1047</v>
      </c>
      <c r="B1048" t="s">
        <v>85</v>
      </c>
      <c r="C1048" s="5">
        <v>45108</v>
      </c>
      <c r="D1048" t="s">
        <v>86</v>
      </c>
      <c r="E1048" t="s">
        <v>76</v>
      </c>
      <c r="F1048" t="s">
        <v>34</v>
      </c>
      <c r="G1048" t="s">
        <v>35</v>
      </c>
      <c r="H1048">
        <v>2</v>
      </c>
      <c r="I1048" s="7">
        <v>0.05</v>
      </c>
      <c r="J1048">
        <v>170.9</v>
      </c>
      <c r="K1048" t="s">
        <v>90</v>
      </c>
      <c r="M1048" t="str" cm="1">
        <f t="array" ref="M1048">_xlfn.IFS(OR('Original Data'!M1048=0,'Original Data'!M1048="No",'Original Data'!M1048=FALSE),"No",OR('Original Data'!M1048=1,'Original Data'!M1048="Yes",'Original Data'!M1048=TRUE),"Yes")</f>
        <v>Yes</v>
      </c>
    </row>
    <row r="1049" spans="1:13" x14ac:dyDescent="0.2">
      <c r="A1049">
        <v>1048</v>
      </c>
      <c r="B1049" t="s">
        <v>74</v>
      </c>
      <c r="C1049" s="5">
        <v>44989</v>
      </c>
      <c r="D1049" t="s">
        <v>75</v>
      </c>
      <c r="E1049" t="s">
        <v>76</v>
      </c>
      <c r="F1049" t="s">
        <v>21</v>
      </c>
      <c r="G1049" t="s">
        <v>22</v>
      </c>
      <c r="H1049">
        <v>1</v>
      </c>
      <c r="I1049" s="7">
        <v>0.25</v>
      </c>
      <c r="J1049">
        <v>33.71</v>
      </c>
      <c r="K1049" t="str">
        <f>PROPER('Original Data'!K1049)</f>
        <v>Apple Pay</v>
      </c>
      <c r="M1049" t="str" cm="1">
        <f t="array" ref="M1049">_xlfn.IFS(OR('Original Data'!M1049=0,'Original Data'!M1049="No",'Original Data'!M1049=FALSE),"No",OR('Original Data'!M1049=1,'Original Data'!M1049="Yes",'Original Data'!M1049=TRUE),"Yes")</f>
        <v>No</v>
      </c>
    </row>
    <row r="1050" spans="1:13" x14ac:dyDescent="0.2">
      <c r="A1050">
        <v>1049</v>
      </c>
      <c r="B1050" t="s">
        <v>56</v>
      </c>
      <c r="C1050" s="5">
        <v>45156</v>
      </c>
      <c r="D1050" t="s">
        <v>57</v>
      </c>
      <c r="E1050" t="s">
        <v>48</v>
      </c>
      <c r="F1050" t="s">
        <v>21</v>
      </c>
      <c r="G1050" t="s">
        <v>22</v>
      </c>
      <c r="H1050">
        <v>2</v>
      </c>
      <c r="I1050" s="7">
        <v>0</v>
      </c>
      <c r="J1050">
        <v>170</v>
      </c>
      <c r="K1050" t="str">
        <f>PROPER('Original Data'!K1050)</f>
        <v>Debit Card</v>
      </c>
      <c r="L1050" t="s">
        <v>45</v>
      </c>
      <c r="M1050" t="str" cm="1">
        <f t="array" ref="M1050">_xlfn.IFS(OR('Original Data'!M1050=0,'Original Data'!M1050="No",'Original Data'!M1050=FALSE),"No",OR('Original Data'!M1050=1,'Original Data'!M1050="Yes",'Original Data'!M1050=TRUE),"Yes")</f>
        <v>Yes</v>
      </c>
    </row>
    <row r="1051" spans="1:13" x14ac:dyDescent="0.2">
      <c r="A1051">
        <v>1050</v>
      </c>
      <c r="B1051" t="s">
        <v>46</v>
      </c>
      <c r="C1051" s="5">
        <v>45001</v>
      </c>
      <c r="D1051" t="s">
        <v>47</v>
      </c>
      <c r="E1051" t="s">
        <v>48</v>
      </c>
      <c r="F1051" t="s">
        <v>44</v>
      </c>
      <c r="H1051">
        <v>3</v>
      </c>
      <c r="I1051" s="7">
        <v>0.2</v>
      </c>
      <c r="J1051">
        <v>119.88</v>
      </c>
      <c r="K1051" t="str">
        <f>PROPER('Original Data'!K1051)</f>
        <v>Apple Pay</v>
      </c>
      <c r="L1051" t="s">
        <v>45</v>
      </c>
      <c r="M1051" t="str" cm="1">
        <f t="array" ref="M1051">_xlfn.IFS(OR('Original Data'!M1051=0,'Original Data'!M1051="No",'Original Data'!M1051=FALSE),"No",OR('Original Data'!M1051=1,'Original Data'!M1051="Yes",'Original Data'!M1051=TRUE),"Yes")</f>
        <v>No</v>
      </c>
    </row>
    <row r="1052" spans="1:13" x14ac:dyDescent="0.2">
      <c r="A1052">
        <v>1051</v>
      </c>
      <c r="B1052" t="s">
        <v>56</v>
      </c>
      <c r="C1052" s="5">
        <v>45565</v>
      </c>
      <c r="D1052" t="s">
        <v>57</v>
      </c>
      <c r="E1052" t="s">
        <v>48</v>
      </c>
      <c r="F1052" t="s">
        <v>26</v>
      </c>
      <c r="G1052" t="s">
        <v>22</v>
      </c>
      <c r="H1052">
        <v>5</v>
      </c>
      <c r="I1052" s="7">
        <v>0.1</v>
      </c>
      <c r="J1052">
        <v>382.5</v>
      </c>
      <c r="K1052" t="str">
        <f>PROPER('Original Data'!K1052)</f>
        <v>Gift Card</v>
      </c>
      <c r="L1052" t="s">
        <v>63</v>
      </c>
      <c r="M1052" t="str" cm="1">
        <f t="array" ref="M1052">_xlfn.IFS(OR('Original Data'!M1052=0,'Original Data'!M1052="No",'Original Data'!M1052=FALSE),"No",OR('Original Data'!M1052=1,'Original Data'!M1052="Yes",'Original Data'!M1052=TRUE),"Yes")</f>
        <v>Yes</v>
      </c>
    </row>
    <row r="1053" spans="1:13" x14ac:dyDescent="0.2">
      <c r="A1053">
        <v>1052</v>
      </c>
      <c r="B1053" t="s">
        <v>56</v>
      </c>
      <c r="C1053" s="5">
        <v>45060</v>
      </c>
      <c r="D1053" t="s">
        <v>57</v>
      </c>
      <c r="E1053" t="s">
        <v>48</v>
      </c>
      <c r="F1053" t="s">
        <v>34</v>
      </c>
      <c r="G1053" t="s">
        <v>35</v>
      </c>
      <c r="H1053">
        <v>4</v>
      </c>
      <c r="I1053" s="7">
        <v>0.1</v>
      </c>
      <c r="J1053">
        <v>306</v>
      </c>
      <c r="K1053" t="str">
        <f>PROPER('Original Data'!K1053)</f>
        <v>Apple Pay</v>
      </c>
      <c r="L1053" t="s">
        <v>30</v>
      </c>
      <c r="M1053" t="str" cm="1">
        <f t="array" ref="M1053">_xlfn.IFS(OR('Original Data'!M1053=0,'Original Data'!M1053="No",'Original Data'!M1053=FALSE),"No",OR('Original Data'!M1053=1,'Original Data'!M1053="Yes",'Original Data'!M1053=TRUE),"Yes")</f>
        <v>Yes</v>
      </c>
    </row>
    <row r="1054" spans="1:13" x14ac:dyDescent="0.2">
      <c r="A1054">
        <v>1053</v>
      </c>
      <c r="B1054" t="s">
        <v>58</v>
      </c>
      <c r="C1054" s="5">
        <v>45167</v>
      </c>
      <c r="D1054" t="str">
        <f>VLOOKUP(B1054,'Original Data'!B:D,3,FALSE)</f>
        <v>Slim Chino Pants</v>
      </c>
      <c r="E1054" t="str">
        <f>_xlfn.XLOOKUP('Cleaned Data'!B106,'Original Data'!B:B,'Original Data'!E:E)</f>
        <v>GAP</v>
      </c>
      <c r="F1054" t="s">
        <v>44</v>
      </c>
      <c r="H1054">
        <v>4</v>
      </c>
      <c r="I1054" s="7">
        <v>0</v>
      </c>
      <c r="J1054">
        <v>239.8</v>
      </c>
      <c r="K1054" t="str">
        <f>PROPER('Original Data'!K1054)</f>
        <v>Debit Card</v>
      </c>
      <c r="L1054" t="s">
        <v>49</v>
      </c>
      <c r="M1054" t="s">
        <v>92</v>
      </c>
    </row>
    <row r="1055" spans="1:13" x14ac:dyDescent="0.2">
      <c r="A1055">
        <v>1054</v>
      </c>
      <c r="B1055" t="s">
        <v>71</v>
      </c>
      <c r="C1055" s="5">
        <v>45471</v>
      </c>
      <c r="D1055" t="s">
        <v>72</v>
      </c>
      <c r="E1055" t="s">
        <v>33</v>
      </c>
      <c r="F1055" t="s">
        <v>16</v>
      </c>
      <c r="G1055" t="s">
        <v>17</v>
      </c>
      <c r="H1055">
        <v>1</v>
      </c>
      <c r="I1055" s="7">
        <v>0.25</v>
      </c>
      <c r="J1055">
        <v>44.96</v>
      </c>
      <c r="K1055" t="s">
        <v>90</v>
      </c>
      <c r="L1055" t="s">
        <v>41</v>
      </c>
      <c r="M1055" t="str" cm="1">
        <f t="array" ref="M1055">_xlfn.IFS(OR('Original Data'!M1055=0,'Original Data'!M1055="No",'Original Data'!M1055=FALSE),"No",OR('Original Data'!M1055=1,'Original Data'!M1055="Yes",'Original Data'!M1055=TRUE),"Yes")</f>
        <v>Yes</v>
      </c>
    </row>
    <row r="1056" spans="1:13" x14ac:dyDescent="0.2">
      <c r="A1056">
        <v>1055</v>
      </c>
      <c r="B1056" t="s">
        <v>88</v>
      </c>
      <c r="C1056" s="5">
        <v>44966</v>
      </c>
      <c r="D1056" t="s">
        <v>89</v>
      </c>
      <c r="E1056" t="s">
        <v>33</v>
      </c>
      <c r="F1056" t="s">
        <v>66</v>
      </c>
      <c r="G1056" t="s">
        <v>67</v>
      </c>
      <c r="H1056">
        <v>5</v>
      </c>
      <c r="I1056" s="7">
        <v>0.05</v>
      </c>
      <c r="J1056">
        <v>940.5</v>
      </c>
      <c r="K1056" t="str">
        <f>PROPER('Original Data'!K1056)</f>
        <v>Apple Pay</v>
      </c>
      <c r="L1056" t="s">
        <v>41</v>
      </c>
      <c r="M1056" t="str" cm="1">
        <f t="array" ref="M1056">_xlfn.IFS(OR('Original Data'!M1056=0,'Original Data'!M1056="No",'Original Data'!M1056=FALSE),"No",OR('Original Data'!M1056=1,'Original Data'!M1056="Yes",'Original Data'!M1056=TRUE),"Yes")</f>
        <v>No</v>
      </c>
    </row>
    <row r="1057" spans="1:13" x14ac:dyDescent="0.2">
      <c r="A1057">
        <v>1056</v>
      </c>
      <c r="B1057" t="s">
        <v>68</v>
      </c>
      <c r="C1057" s="5">
        <v>45394</v>
      </c>
      <c r="D1057" t="s">
        <v>69</v>
      </c>
      <c r="E1057" t="s">
        <v>33</v>
      </c>
      <c r="G1057" t="s">
        <v>25</v>
      </c>
      <c r="H1057">
        <v>4</v>
      </c>
      <c r="I1057" s="7">
        <v>0.2</v>
      </c>
      <c r="J1057">
        <v>380.8</v>
      </c>
      <c r="K1057" t="str">
        <f>PROPER('Original Data'!K1057)</f>
        <v>Apple Pay</v>
      </c>
      <c r="L1057" t="s">
        <v>49</v>
      </c>
      <c r="M1057" t="str" cm="1">
        <f t="array" ref="M1057">_xlfn.IFS(OR('Original Data'!M1057=0,'Original Data'!M1057="No",'Original Data'!M1057=FALSE),"No",OR('Original Data'!M1057=1,'Original Data'!M1057="Yes",'Original Data'!M1057=TRUE),"Yes")</f>
        <v>No</v>
      </c>
    </row>
    <row r="1058" spans="1:13" x14ac:dyDescent="0.2">
      <c r="A1058">
        <v>1057</v>
      </c>
      <c r="B1058" t="s">
        <v>78</v>
      </c>
      <c r="C1058" s="5">
        <v>45070</v>
      </c>
      <c r="D1058" t="s">
        <v>79</v>
      </c>
      <c r="E1058" t="s">
        <v>48</v>
      </c>
      <c r="F1058" t="s">
        <v>66</v>
      </c>
      <c r="G1058" t="s">
        <v>67</v>
      </c>
      <c r="H1058">
        <v>4</v>
      </c>
      <c r="I1058" s="7">
        <v>0.25</v>
      </c>
      <c r="J1058">
        <v>119.85</v>
      </c>
      <c r="K1058" t="str">
        <f>PROPER('Original Data'!K1058)</f>
        <v>Debit Card</v>
      </c>
      <c r="L1058" t="s">
        <v>28</v>
      </c>
      <c r="M1058" t="str" cm="1">
        <f t="array" ref="M1058">_xlfn.IFS(OR('Original Data'!M1058=0,'Original Data'!M1058="No",'Original Data'!M1058=FALSE),"No",OR('Original Data'!M1058=1,'Original Data'!M1058="Yes",'Original Data'!M1058=TRUE),"Yes")</f>
        <v>Yes</v>
      </c>
    </row>
    <row r="1059" spans="1:13" x14ac:dyDescent="0.2">
      <c r="A1059">
        <v>1058</v>
      </c>
      <c r="B1059" t="s">
        <v>19</v>
      </c>
      <c r="C1059" s="5">
        <v>45095</v>
      </c>
      <c r="D1059" t="s">
        <v>20</v>
      </c>
      <c r="E1059" t="s">
        <v>15</v>
      </c>
      <c r="F1059" t="s">
        <v>21</v>
      </c>
      <c r="G1059" t="s">
        <v>22</v>
      </c>
      <c r="H1059">
        <v>2</v>
      </c>
      <c r="I1059" s="7">
        <v>0</v>
      </c>
      <c r="J1059">
        <v>179.9</v>
      </c>
      <c r="K1059" t="str">
        <f>PROPER('Original Data'!K1059)</f>
        <v>Gift Card</v>
      </c>
      <c r="L1059" t="s">
        <v>49</v>
      </c>
      <c r="M1059" t="str" cm="1">
        <f t="array" ref="M1059">_xlfn.IFS(OR('Original Data'!M1059=0,'Original Data'!M1059="No",'Original Data'!M1059=FALSE),"No",OR('Original Data'!M1059=1,'Original Data'!M1059="Yes",'Original Data'!M1059=TRUE),"Yes")</f>
        <v>Yes</v>
      </c>
    </row>
    <row r="1060" spans="1:13" x14ac:dyDescent="0.2">
      <c r="A1060">
        <v>1059</v>
      </c>
      <c r="B1060" t="s">
        <v>74</v>
      </c>
      <c r="C1060" s="5">
        <v>45153</v>
      </c>
      <c r="D1060" t="s">
        <v>75</v>
      </c>
      <c r="E1060" t="s">
        <v>76</v>
      </c>
      <c r="F1060" t="s">
        <v>40</v>
      </c>
      <c r="G1060" t="s">
        <v>17</v>
      </c>
      <c r="H1060">
        <v>2</v>
      </c>
      <c r="I1060" s="7">
        <v>0</v>
      </c>
      <c r="J1060">
        <v>89.9</v>
      </c>
      <c r="K1060" t="s">
        <v>90</v>
      </c>
      <c r="L1060" t="s">
        <v>28</v>
      </c>
      <c r="M1060" t="str" cm="1">
        <f t="array" ref="M1060">_xlfn.IFS(OR('Original Data'!M1060=0,'Original Data'!M1060="No",'Original Data'!M1060=FALSE),"No",OR('Original Data'!M1060=1,'Original Data'!M1060="Yes",'Original Data'!M1060=TRUE),"Yes")</f>
        <v>No</v>
      </c>
    </row>
    <row r="1061" spans="1:13" x14ac:dyDescent="0.2">
      <c r="A1061">
        <v>1060</v>
      </c>
      <c r="B1061" t="s">
        <v>68</v>
      </c>
      <c r="C1061" s="5">
        <v>45196</v>
      </c>
      <c r="D1061" t="s">
        <v>69</v>
      </c>
      <c r="E1061" t="s">
        <v>33</v>
      </c>
      <c r="F1061" t="s">
        <v>21</v>
      </c>
      <c r="G1061" t="s">
        <v>22</v>
      </c>
      <c r="H1061">
        <v>3</v>
      </c>
      <c r="I1061" s="7">
        <v>0</v>
      </c>
      <c r="J1061">
        <v>357</v>
      </c>
      <c r="K1061" t="s">
        <v>90</v>
      </c>
      <c r="L1061" t="s">
        <v>41</v>
      </c>
      <c r="M1061" t="str" cm="1">
        <f t="array" ref="M1061">_xlfn.IFS(OR('Original Data'!M1061=0,'Original Data'!M1061="No",'Original Data'!M1061=FALSE),"No",OR('Original Data'!M1061=1,'Original Data'!M1061="Yes",'Original Data'!M1061=TRUE),"Yes")</f>
        <v>No</v>
      </c>
    </row>
    <row r="1062" spans="1:13" x14ac:dyDescent="0.2">
      <c r="A1062">
        <v>1061</v>
      </c>
      <c r="B1062" t="s">
        <v>50</v>
      </c>
      <c r="C1062" s="5">
        <v>45419</v>
      </c>
      <c r="D1062" t="s">
        <v>51</v>
      </c>
      <c r="E1062" t="s">
        <v>15</v>
      </c>
      <c r="F1062" t="s">
        <v>34</v>
      </c>
      <c r="G1062" t="s">
        <v>35</v>
      </c>
      <c r="H1062">
        <v>5</v>
      </c>
      <c r="I1062" s="7">
        <v>0</v>
      </c>
      <c r="J1062">
        <v>349.75</v>
      </c>
      <c r="K1062" t="str">
        <f>PROPER('Original Data'!K1062)</f>
        <v>Credit Card</v>
      </c>
      <c r="L1062" t="s">
        <v>55</v>
      </c>
      <c r="M1062" t="str" cm="1">
        <f t="array" ref="M1062">_xlfn.IFS(OR('Original Data'!M1062=0,'Original Data'!M1062="No",'Original Data'!M1062=FALSE),"No",OR('Original Data'!M1062=1,'Original Data'!M1062="Yes",'Original Data'!M1062=TRUE),"Yes")</f>
        <v>No</v>
      </c>
    </row>
    <row r="1063" spans="1:13" x14ac:dyDescent="0.2">
      <c r="A1063">
        <v>1062</v>
      </c>
      <c r="B1063" t="s">
        <v>74</v>
      </c>
      <c r="C1063" s="5">
        <v>45391</v>
      </c>
      <c r="D1063" t="s">
        <v>75</v>
      </c>
      <c r="E1063" t="s">
        <v>76</v>
      </c>
      <c r="F1063" t="s">
        <v>34</v>
      </c>
      <c r="G1063" t="s">
        <v>35</v>
      </c>
      <c r="H1063">
        <v>3</v>
      </c>
      <c r="I1063" s="7">
        <v>0</v>
      </c>
      <c r="J1063">
        <v>134.85</v>
      </c>
      <c r="K1063" t="str">
        <f>PROPER('Original Data'!K1063)</f>
        <v>Cash</v>
      </c>
      <c r="L1063" t="s">
        <v>49</v>
      </c>
      <c r="M1063" t="str" cm="1">
        <f t="array" ref="M1063">_xlfn.IFS(OR('Original Data'!M1063=0,'Original Data'!M1063="No",'Original Data'!M1063=FALSE),"No",OR('Original Data'!M1063=1,'Original Data'!M1063="Yes",'Original Data'!M1063=TRUE),"Yes")</f>
        <v>No</v>
      </c>
    </row>
    <row r="1064" spans="1:13" x14ac:dyDescent="0.2">
      <c r="A1064">
        <v>1063</v>
      </c>
      <c r="B1064" t="s">
        <v>19</v>
      </c>
      <c r="C1064" s="5">
        <v>44943</v>
      </c>
      <c r="D1064" t="s">
        <v>20</v>
      </c>
      <c r="E1064" t="s">
        <v>15</v>
      </c>
      <c r="F1064" t="s">
        <v>16</v>
      </c>
      <c r="G1064" t="s">
        <v>17</v>
      </c>
      <c r="H1064">
        <v>4</v>
      </c>
      <c r="I1064" s="7">
        <v>0.25</v>
      </c>
      <c r="J1064">
        <v>269.85000000000002</v>
      </c>
      <c r="K1064" t="str">
        <f>PROPER('Original Data'!K1064)</f>
        <v>Credit Card</v>
      </c>
      <c r="L1064" t="s">
        <v>49</v>
      </c>
      <c r="M1064" t="str" cm="1">
        <f t="array" ref="M1064">_xlfn.IFS(OR('Original Data'!M1064=0,'Original Data'!M1064="No",'Original Data'!M1064=FALSE),"No",OR('Original Data'!M1064=1,'Original Data'!M1064="Yes",'Original Data'!M1064=TRUE),"Yes")</f>
        <v>Yes</v>
      </c>
    </row>
    <row r="1065" spans="1:13" x14ac:dyDescent="0.2">
      <c r="A1065">
        <v>1064</v>
      </c>
      <c r="B1065" t="s">
        <v>74</v>
      </c>
      <c r="C1065" s="5">
        <v>44988</v>
      </c>
      <c r="D1065" t="s">
        <v>75</v>
      </c>
      <c r="E1065" t="s">
        <v>76</v>
      </c>
      <c r="F1065" t="s">
        <v>44</v>
      </c>
      <c r="H1065">
        <v>5</v>
      </c>
      <c r="I1065" s="7">
        <v>0</v>
      </c>
      <c r="J1065">
        <v>224.75</v>
      </c>
      <c r="K1065" t="s">
        <v>90</v>
      </c>
      <c r="L1065" t="s">
        <v>41</v>
      </c>
      <c r="M1065" t="str" cm="1">
        <f t="array" ref="M1065">_xlfn.IFS(OR('Original Data'!M1065=0,'Original Data'!M1065="No",'Original Data'!M1065=FALSE),"No",OR('Original Data'!M1065=1,'Original Data'!M1065="Yes",'Original Data'!M1065=TRUE),"Yes")</f>
        <v>No</v>
      </c>
    </row>
    <row r="1066" spans="1:13" x14ac:dyDescent="0.2">
      <c r="A1066">
        <v>1065</v>
      </c>
      <c r="B1066" t="s">
        <v>74</v>
      </c>
      <c r="C1066" s="5">
        <v>45365</v>
      </c>
      <c r="D1066" t="s">
        <v>75</v>
      </c>
      <c r="E1066" t="s">
        <v>76</v>
      </c>
      <c r="F1066" t="s">
        <v>40</v>
      </c>
      <c r="G1066" t="s">
        <v>17</v>
      </c>
      <c r="H1066">
        <v>2</v>
      </c>
      <c r="I1066" s="7">
        <v>0</v>
      </c>
      <c r="J1066">
        <v>89.9</v>
      </c>
      <c r="K1066" t="s">
        <v>90</v>
      </c>
      <c r="L1066" t="s">
        <v>49</v>
      </c>
      <c r="M1066" t="str" cm="1">
        <f t="array" ref="M1066">_xlfn.IFS(OR('Original Data'!M1066=0,'Original Data'!M1066="No",'Original Data'!M1066=FALSE),"No",OR('Original Data'!M1066=1,'Original Data'!M1066="Yes",'Original Data'!M1066=TRUE),"Yes")</f>
        <v>No</v>
      </c>
    </row>
    <row r="1067" spans="1:13" x14ac:dyDescent="0.2">
      <c r="A1067">
        <v>1066</v>
      </c>
      <c r="B1067" t="s">
        <v>61</v>
      </c>
      <c r="C1067" s="5">
        <v>45612</v>
      </c>
      <c r="D1067" t="s">
        <v>62</v>
      </c>
      <c r="E1067" t="s">
        <v>33</v>
      </c>
      <c r="F1067" t="s">
        <v>66</v>
      </c>
      <c r="G1067" t="s">
        <v>67</v>
      </c>
      <c r="H1067">
        <v>4</v>
      </c>
      <c r="I1067" s="7">
        <v>0.15</v>
      </c>
      <c r="J1067">
        <v>118.97</v>
      </c>
      <c r="K1067" t="str">
        <f>PROPER('Original Data'!K1067)</f>
        <v>Apple Pay</v>
      </c>
      <c r="L1067" t="s">
        <v>49</v>
      </c>
      <c r="M1067" t="str" cm="1">
        <f t="array" ref="M1067">_xlfn.IFS(OR('Original Data'!M1067=0,'Original Data'!M1067="No",'Original Data'!M1067=FALSE),"No",OR('Original Data'!M1067=1,'Original Data'!M1067="Yes",'Original Data'!M1067=TRUE),"Yes")</f>
        <v>No</v>
      </c>
    </row>
    <row r="1068" spans="1:13" x14ac:dyDescent="0.2">
      <c r="A1068">
        <v>1067</v>
      </c>
      <c r="B1068" t="s">
        <v>78</v>
      </c>
      <c r="C1068" s="5">
        <v>45636</v>
      </c>
      <c r="D1068" t="str">
        <f>VLOOKUP(B1068,'Original Data'!B:D,3,FALSE)</f>
        <v>Cargo Shorts</v>
      </c>
      <c r="E1068" t="str">
        <f>_xlfn.XLOOKUP('Cleaned Data'!B998,'Original Data'!B:B,'Original Data'!E:E)</f>
        <v>Banana Republic</v>
      </c>
      <c r="F1068" t="s">
        <v>66</v>
      </c>
      <c r="G1068" t="s">
        <v>67</v>
      </c>
      <c r="H1068">
        <v>2</v>
      </c>
      <c r="I1068" s="7">
        <v>0.1</v>
      </c>
      <c r="J1068">
        <v>71.91</v>
      </c>
      <c r="K1068" t="str">
        <f>PROPER('Original Data'!K1068)</f>
        <v>Credit Card</v>
      </c>
      <c r="L1068" t="s">
        <v>55</v>
      </c>
      <c r="M1068" t="s">
        <v>92</v>
      </c>
    </row>
    <row r="1069" spans="1:13" x14ac:dyDescent="0.2">
      <c r="A1069">
        <v>1068</v>
      </c>
      <c r="B1069" t="s">
        <v>81</v>
      </c>
      <c r="C1069" s="5">
        <v>45585</v>
      </c>
      <c r="D1069" t="s">
        <v>82</v>
      </c>
      <c r="E1069" t="s">
        <v>15</v>
      </c>
      <c r="F1069" t="s">
        <v>34</v>
      </c>
      <c r="G1069" t="s">
        <v>35</v>
      </c>
      <c r="H1069">
        <v>2</v>
      </c>
      <c r="I1069" s="7">
        <v>0</v>
      </c>
      <c r="J1069">
        <v>159.9</v>
      </c>
      <c r="K1069" t="str">
        <f>PROPER('Original Data'!K1069)</f>
        <v>Debit Card</v>
      </c>
      <c r="L1069" t="s">
        <v>63</v>
      </c>
      <c r="M1069" t="str" cm="1">
        <f t="array" ref="M1069">_xlfn.IFS(OR('Original Data'!M1069=0,'Original Data'!M1069="No",'Original Data'!M1069=FALSE),"No",OR('Original Data'!M1069=1,'Original Data'!M1069="Yes",'Original Data'!M1069=TRUE),"Yes")</f>
        <v>Yes</v>
      </c>
    </row>
    <row r="1070" spans="1:13" x14ac:dyDescent="0.2">
      <c r="A1070">
        <v>1069</v>
      </c>
      <c r="B1070" t="s">
        <v>46</v>
      </c>
      <c r="C1070" s="5">
        <v>45464</v>
      </c>
      <c r="D1070" t="s">
        <v>47</v>
      </c>
      <c r="E1070" t="s">
        <v>48</v>
      </c>
      <c r="F1070" t="s">
        <v>66</v>
      </c>
      <c r="G1070" t="s">
        <v>67</v>
      </c>
      <c r="H1070">
        <v>3</v>
      </c>
      <c r="I1070" s="7">
        <v>0.1</v>
      </c>
      <c r="J1070">
        <v>134.87</v>
      </c>
      <c r="K1070" t="s">
        <v>90</v>
      </c>
      <c r="L1070" t="s">
        <v>30</v>
      </c>
      <c r="M1070" t="str" cm="1">
        <f t="array" ref="M1070">_xlfn.IFS(OR('Original Data'!M1070=0,'Original Data'!M1070="No",'Original Data'!M1070=FALSE),"No",OR('Original Data'!M1070=1,'Original Data'!M1070="Yes",'Original Data'!M1070=TRUE),"Yes")</f>
        <v>No</v>
      </c>
    </row>
    <row r="1071" spans="1:13" x14ac:dyDescent="0.2">
      <c r="A1071">
        <v>1070</v>
      </c>
      <c r="B1071" t="s">
        <v>24</v>
      </c>
      <c r="C1071" s="5">
        <v>44933</v>
      </c>
      <c r="D1071" t="s">
        <v>87</v>
      </c>
      <c r="E1071" t="s">
        <v>39</v>
      </c>
      <c r="F1071" t="s">
        <v>44</v>
      </c>
      <c r="H1071">
        <v>3</v>
      </c>
      <c r="I1071" s="7">
        <v>0.2</v>
      </c>
      <c r="J1071">
        <v>107.88</v>
      </c>
      <c r="K1071" t="str">
        <f>PROPER('Original Data'!K1071)</f>
        <v>Apple Pay</v>
      </c>
      <c r="L1071" t="s">
        <v>45</v>
      </c>
      <c r="M1071" t="str" cm="1">
        <f t="array" ref="M1071">_xlfn.IFS(OR('Original Data'!M1071=0,'Original Data'!M1071="No",'Original Data'!M1071=FALSE),"No",OR('Original Data'!M1071=1,'Original Data'!M1071="Yes",'Original Data'!M1071=TRUE),"Yes")</f>
        <v>Yes</v>
      </c>
    </row>
    <row r="1072" spans="1:13" x14ac:dyDescent="0.2">
      <c r="A1072">
        <v>1071</v>
      </c>
      <c r="B1072" t="s">
        <v>56</v>
      </c>
      <c r="C1072" s="5">
        <v>45056</v>
      </c>
      <c r="D1072" t="str">
        <f>VLOOKUP(B1072,'Original Data'!B:D,3,FALSE)</f>
        <v>Rain Jacket</v>
      </c>
      <c r="E1072" t="str">
        <f>_xlfn.XLOOKUP('Cleaned Data'!B1068,'Original Data'!B:B,'Original Data'!E:E)</f>
        <v>Old Navy</v>
      </c>
      <c r="F1072" t="s">
        <v>66</v>
      </c>
      <c r="G1072" t="s">
        <v>67</v>
      </c>
      <c r="H1072">
        <v>1</v>
      </c>
      <c r="I1072" s="7">
        <v>0</v>
      </c>
      <c r="J1072">
        <v>85</v>
      </c>
      <c r="K1072" t="str">
        <f>PROPER('Original Data'!K1072)</f>
        <v>Credit Card</v>
      </c>
      <c r="L1072" t="s">
        <v>63</v>
      </c>
      <c r="M1072" t="s">
        <v>92</v>
      </c>
    </row>
    <row r="1073" spans="1:13" x14ac:dyDescent="0.2">
      <c r="A1073">
        <v>1072</v>
      </c>
      <c r="B1073" t="s">
        <v>85</v>
      </c>
      <c r="C1073" s="5">
        <v>45493</v>
      </c>
      <c r="D1073" t="s">
        <v>86</v>
      </c>
      <c r="E1073" t="s">
        <v>76</v>
      </c>
      <c r="F1073" t="s">
        <v>34</v>
      </c>
      <c r="G1073" t="s">
        <v>35</v>
      </c>
      <c r="H1073">
        <v>3</v>
      </c>
      <c r="I1073" s="7">
        <v>0.25</v>
      </c>
      <c r="J1073">
        <v>202.39</v>
      </c>
      <c r="K1073" t="str">
        <f>PROPER('Original Data'!K1073)</f>
        <v>Debit Card</v>
      </c>
      <c r="L1073" t="s">
        <v>45</v>
      </c>
      <c r="M1073" t="str" cm="1">
        <f t="array" ref="M1073">_xlfn.IFS(OR('Original Data'!M1073=0,'Original Data'!M1073="No",'Original Data'!M1073=FALSE),"No",OR('Original Data'!M1073=1,'Original Data'!M1073="Yes",'Original Data'!M1073=TRUE),"Yes")</f>
        <v>Yes</v>
      </c>
    </row>
    <row r="1074" spans="1:13" x14ac:dyDescent="0.2">
      <c r="A1074">
        <v>1073</v>
      </c>
      <c r="B1074" t="s">
        <v>83</v>
      </c>
      <c r="C1074" s="5">
        <v>45298</v>
      </c>
      <c r="D1074" t="s">
        <v>84</v>
      </c>
      <c r="E1074" t="s">
        <v>48</v>
      </c>
      <c r="F1074" t="s">
        <v>40</v>
      </c>
      <c r="G1074" t="s">
        <v>17</v>
      </c>
      <c r="H1074">
        <v>4</v>
      </c>
      <c r="I1074" s="7">
        <v>0.15</v>
      </c>
      <c r="J1074">
        <v>169.83</v>
      </c>
      <c r="K1074" t="str">
        <f>PROPER('Original Data'!K1074)</f>
        <v>Apple Pay</v>
      </c>
      <c r="L1074" t="s">
        <v>30</v>
      </c>
      <c r="M1074" t="str" cm="1">
        <f t="array" ref="M1074">_xlfn.IFS(OR('Original Data'!M1074=0,'Original Data'!M1074="No",'Original Data'!M1074=FALSE),"No",OR('Original Data'!M1074=1,'Original Data'!M1074="Yes",'Original Data'!M1074=TRUE),"Yes")</f>
        <v>No</v>
      </c>
    </row>
    <row r="1075" spans="1:13" x14ac:dyDescent="0.2">
      <c r="A1075">
        <v>1074</v>
      </c>
      <c r="B1075" t="s">
        <v>74</v>
      </c>
      <c r="C1075" s="5">
        <v>44981</v>
      </c>
      <c r="D1075" t="s">
        <v>75</v>
      </c>
      <c r="E1075" t="s">
        <v>76</v>
      </c>
      <c r="F1075" t="s">
        <v>44</v>
      </c>
      <c r="H1075">
        <v>5</v>
      </c>
      <c r="I1075" s="7">
        <v>0.05</v>
      </c>
      <c r="J1075">
        <v>213.51</v>
      </c>
      <c r="K1075" t="str">
        <f>PROPER('Original Data'!K1075)</f>
        <v>Gift Card</v>
      </c>
      <c r="L1075" t="s">
        <v>55</v>
      </c>
      <c r="M1075" t="str" cm="1">
        <f t="array" ref="M1075">_xlfn.IFS(OR('Original Data'!M1075=0,'Original Data'!M1075="No",'Original Data'!M1075=FALSE),"No",OR('Original Data'!M1075=1,'Original Data'!M1075="Yes",'Original Data'!M1075=TRUE),"Yes")</f>
        <v>No</v>
      </c>
    </row>
    <row r="1076" spans="1:13" x14ac:dyDescent="0.2">
      <c r="A1076">
        <v>1075</v>
      </c>
      <c r="B1076" t="s">
        <v>81</v>
      </c>
      <c r="C1076" s="5">
        <v>45113</v>
      </c>
      <c r="D1076" t="s">
        <v>82</v>
      </c>
      <c r="E1076" t="s">
        <v>15</v>
      </c>
      <c r="F1076" t="s">
        <v>34</v>
      </c>
      <c r="G1076" t="s">
        <v>35</v>
      </c>
      <c r="H1076">
        <v>5</v>
      </c>
      <c r="I1076" s="7">
        <v>0</v>
      </c>
      <c r="J1076">
        <v>399.75</v>
      </c>
      <c r="K1076" t="str">
        <f>PROPER('Original Data'!K1076)</f>
        <v>Cash</v>
      </c>
      <c r="L1076" t="s">
        <v>23</v>
      </c>
      <c r="M1076" t="str" cm="1">
        <f t="array" ref="M1076">_xlfn.IFS(OR('Original Data'!M1076=0,'Original Data'!M1076="No",'Original Data'!M1076=FALSE),"No",OR('Original Data'!M1076=1,'Original Data'!M1076="Yes",'Original Data'!M1076=TRUE),"Yes")</f>
        <v>Yes</v>
      </c>
    </row>
    <row r="1077" spans="1:13" x14ac:dyDescent="0.2">
      <c r="A1077">
        <v>1076</v>
      </c>
      <c r="B1077" t="s">
        <v>81</v>
      </c>
      <c r="C1077" s="5">
        <v>45490</v>
      </c>
      <c r="D1077" t="s">
        <v>82</v>
      </c>
      <c r="E1077" t="s">
        <v>15</v>
      </c>
      <c r="F1077" t="s">
        <v>40</v>
      </c>
      <c r="G1077" t="s">
        <v>17</v>
      </c>
      <c r="H1077">
        <v>1</v>
      </c>
      <c r="I1077" s="7">
        <v>0.1</v>
      </c>
      <c r="J1077">
        <v>71.959999999999994</v>
      </c>
      <c r="K1077" t="s">
        <v>90</v>
      </c>
      <c r="L1077" t="s">
        <v>63</v>
      </c>
      <c r="M1077" t="str" cm="1">
        <f t="array" ref="M1077">_xlfn.IFS(OR('Original Data'!M1077=0,'Original Data'!M1077="No",'Original Data'!M1077=FALSE),"No",OR('Original Data'!M1077=1,'Original Data'!M1077="Yes",'Original Data'!M1077=TRUE),"Yes")</f>
        <v>Yes</v>
      </c>
    </row>
    <row r="1078" spans="1:13" x14ac:dyDescent="0.2">
      <c r="A1078">
        <v>1077</v>
      </c>
      <c r="B1078" t="s">
        <v>64</v>
      </c>
      <c r="C1078" s="5">
        <v>45587</v>
      </c>
      <c r="D1078" t="s">
        <v>65</v>
      </c>
      <c r="E1078" t="s">
        <v>33</v>
      </c>
      <c r="F1078" t="s">
        <v>53</v>
      </c>
      <c r="G1078" t="s">
        <v>54</v>
      </c>
      <c r="H1078">
        <v>4</v>
      </c>
      <c r="I1078" s="7">
        <v>0</v>
      </c>
      <c r="J1078">
        <v>299.8</v>
      </c>
      <c r="K1078" t="str">
        <f>PROPER('Original Data'!K1078)</f>
        <v>Apple Pay</v>
      </c>
      <c r="L1078" t="s">
        <v>41</v>
      </c>
      <c r="M1078" t="str" cm="1">
        <f t="array" ref="M1078">_xlfn.IFS(OR('Original Data'!M1078=0,'Original Data'!M1078="No",'Original Data'!M1078=FALSE),"No",OR('Original Data'!M1078=1,'Original Data'!M1078="Yes",'Original Data'!M1078=TRUE),"Yes")</f>
        <v>No</v>
      </c>
    </row>
    <row r="1079" spans="1:13" x14ac:dyDescent="0.2">
      <c r="A1079">
        <v>1078</v>
      </c>
      <c r="B1079" t="s">
        <v>81</v>
      </c>
      <c r="C1079" s="5">
        <v>45545</v>
      </c>
      <c r="D1079" t="s">
        <v>82</v>
      </c>
      <c r="E1079" t="s">
        <v>15</v>
      </c>
      <c r="F1079" t="s">
        <v>53</v>
      </c>
      <c r="G1079" t="s">
        <v>54</v>
      </c>
      <c r="H1079">
        <v>4</v>
      </c>
      <c r="I1079" s="7">
        <v>0</v>
      </c>
      <c r="J1079">
        <v>319.8</v>
      </c>
      <c r="K1079" t="str">
        <f>PROPER('Original Data'!K1079)</f>
        <v>Gift Card</v>
      </c>
      <c r="L1079" t="s">
        <v>45</v>
      </c>
      <c r="M1079" t="str" cm="1">
        <f t="array" ref="M1079">_xlfn.IFS(OR('Original Data'!M1079=0,'Original Data'!M1079="No",'Original Data'!M1079=FALSE),"No",OR('Original Data'!M1079=1,'Original Data'!M1079="Yes",'Original Data'!M1079=TRUE),"Yes")</f>
        <v>Yes</v>
      </c>
    </row>
    <row r="1080" spans="1:13" x14ac:dyDescent="0.2">
      <c r="A1080">
        <v>1079</v>
      </c>
      <c r="B1080" t="s">
        <v>46</v>
      </c>
      <c r="C1080" s="5">
        <v>45520</v>
      </c>
      <c r="D1080" t="s">
        <v>47</v>
      </c>
      <c r="E1080" t="s">
        <v>48</v>
      </c>
      <c r="F1080" t="s">
        <v>44</v>
      </c>
      <c r="H1080">
        <v>2</v>
      </c>
      <c r="I1080" s="7">
        <v>0</v>
      </c>
      <c r="J1080">
        <v>99.9</v>
      </c>
      <c r="K1080" t="str">
        <f>PROPER('Original Data'!K1080)</f>
        <v>Debit Card</v>
      </c>
      <c r="L1080" t="s">
        <v>49</v>
      </c>
      <c r="M1080" t="str" cm="1">
        <f t="array" ref="M1080">_xlfn.IFS(OR('Original Data'!M1080=0,'Original Data'!M1080="No",'Original Data'!M1080=FALSE),"No",OR('Original Data'!M1080=1,'Original Data'!M1080="Yes",'Original Data'!M1080=TRUE),"Yes")</f>
        <v>No</v>
      </c>
    </row>
    <row r="1081" spans="1:13" x14ac:dyDescent="0.2">
      <c r="A1081">
        <v>1080</v>
      </c>
      <c r="B1081" t="s">
        <v>56</v>
      </c>
      <c r="C1081" s="5">
        <v>45198</v>
      </c>
      <c r="D1081" t="s">
        <v>57</v>
      </c>
      <c r="E1081" t="s">
        <v>48</v>
      </c>
      <c r="F1081" t="s">
        <v>26</v>
      </c>
      <c r="G1081" t="s">
        <v>22</v>
      </c>
      <c r="H1081">
        <v>2</v>
      </c>
      <c r="I1081" s="7">
        <v>0</v>
      </c>
      <c r="J1081">
        <v>170</v>
      </c>
      <c r="K1081" t="str">
        <f>PROPER('Original Data'!K1081)</f>
        <v>Credit Card</v>
      </c>
      <c r="L1081" t="s">
        <v>23</v>
      </c>
      <c r="M1081" t="str" cm="1">
        <f t="array" ref="M1081">_xlfn.IFS(OR('Original Data'!M1081=0,'Original Data'!M1081="No",'Original Data'!M1081=FALSE),"No",OR('Original Data'!M1081=1,'Original Data'!M1081="Yes",'Original Data'!M1081=TRUE),"Yes")</f>
        <v>Yes</v>
      </c>
    </row>
    <row r="1082" spans="1:13" x14ac:dyDescent="0.2">
      <c r="A1082">
        <v>1081</v>
      </c>
      <c r="B1082" t="s">
        <v>78</v>
      </c>
      <c r="C1082" s="5">
        <v>45474</v>
      </c>
      <c r="D1082" t="str">
        <f>VLOOKUP(B1082,'Original Data'!B:D,3,FALSE)</f>
        <v>Cargo Shorts</v>
      </c>
      <c r="E1082" t="str">
        <f>_xlfn.XLOOKUP('Cleaned Data'!B999,'Original Data'!B:B,'Original Data'!E:E)</f>
        <v>Banana Republic</v>
      </c>
      <c r="F1082" t="s">
        <v>40</v>
      </c>
      <c r="G1082" t="s">
        <v>17</v>
      </c>
      <c r="H1082">
        <v>3</v>
      </c>
      <c r="I1082" s="7">
        <v>0</v>
      </c>
      <c r="J1082">
        <v>119.85</v>
      </c>
      <c r="K1082" t="str">
        <f>PROPER('Original Data'!K1082)</f>
        <v>Apple Pay</v>
      </c>
      <c r="M1082" t="s">
        <v>92</v>
      </c>
    </row>
    <row r="1083" spans="1:13" x14ac:dyDescent="0.2">
      <c r="A1083">
        <v>1082</v>
      </c>
      <c r="B1083" t="s">
        <v>74</v>
      </c>
      <c r="C1083" s="5">
        <v>44995</v>
      </c>
      <c r="D1083" t="s">
        <v>75</v>
      </c>
      <c r="E1083" t="s">
        <v>76</v>
      </c>
      <c r="F1083" t="s">
        <v>34</v>
      </c>
      <c r="G1083" t="s">
        <v>35</v>
      </c>
      <c r="H1083">
        <v>1</v>
      </c>
      <c r="I1083" s="7">
        <v>0.15</v>
      </c>
      <c r="J1083">
        <v>38.21</v>
      </c>
      <c r="K1083" t="str">
        <f>PROPER('Original Data'!K1083)</f>
        <v>Gift Card</v>
      </c>
      <c r="M1083" t="str" cm="1">
        <f t="array" ref="M1083">_xlfn.IFS(OR('Original Data'!M1083=0,'Original Data'!M1083="No",'Original Data'!M1083=FALSE),"No",OR('Original Data'!M1083=1,'Original Data'!M1083="Yes",'Original Data'!M1083=TRUE),"Yes")</f>
        <v>No</v>
      </c>
    </row>
    <row r="1084" spans="1:13" x14ac:dyDescent="0.2">
      <c r="A1084">
        <v>1083</v>
      </c>
      <c r="B1084" t="s">
        <v>81</v>
      </c>
      <c r="C1084" s="5">
        <v>45130</v>
      </c>
      <c r="D1084" t="s">
        <v>82</v>
      </c>
      <c r="E1084" t="s">
        <v>15</v>
      </c>
      <c r="F1084" t="s">
        <v>66</v>
      </c>
      <c r="G1084" t="s">
        <v>67</v>
      </c>
      <c r="H1084">
        <v>3</v>
      </c>
      <c r="J1084">
        <v>239.85</v>
      </c>
      <c r="K1084" t="str">
        <f>PROPER('Original Data'!K1084)</f>
        <v>Cash</v>
      </c>
      <c r="L1084" t="s">
        <v>55</v>
      </c>
      <c r="M1084" t="str" cm="1">
        <f t="array" ref="M1084">_xlfn.IFS(OR('Original Data'!M1084=0,'Original Data'!M1084="No",'Original Data'!M1084=FALSE),"No",OR('Original Data'!M1084=1,'Original Data'!M1084="Yes",'Original Data'!M1084=TRUE),"Yes")</f>
        <v>Yes</v>
      </c>
    </row>
    <row r="1085" spans="1:13" x14ac:dyDescent="0.2">
      <c r="A1085">
        <v>1084</v>
      </c>
      <c r="B1085" t="s">
        <v>42</v>
      </c>
      <c r="C1085" s="5">
        <v>44976</v>
      </c>
      <c r="D1085" t="s">
        <v>91</v>
      </c>
      <c r="E1085" t="s">
        <v>15</v>
      </c>
      <c r="F1085" t="s">
        <v>44</v>
      </c>
      <c r="H1085">
        <v>5</v>
      </c>
      <c r="I1085" s="7">
        <v>0</v>
      </c>
      <c r="J1085">
        <v>645</v>
      </c>
      <c r="K1085" t="str">
        <f>PROPER('Original Data'!K1085)</f>
        <v>Gift Card</v>
      </c>
      <c r="L1085" t="s">
        <v>45</v>
      </c>
      <c r="M1085" t="str" cm="1">
        <f t="array" ref="M1085">_xlfn.IFS(OR('Original Data'!M1085=0,'Original Data'!M1085="No",'Original Data'!M1085=FALSE),"No",OR('Original Data'!M1085=1,'Original Data'!M1085="Yes",'Original Data'!M1085=TRUE),"Yes")</f>
        <v>Yes</v>
      </c>
    </row>
    <row r="1086" spans="1:13" x14ac:dyDescent="0.2">
      <c r="A1086">
        <v>1085</v>
      </c>
      <c r="B1086" t="s">
        <v>58</v>
      </c>
      <c r="C1086" s="5">
        <v>45318</v>
      </c>
      <c r="D1086" t="s">
        <v>59</v>
      </c>
      <c r="E1086" t="s">
        <v>15</v>
      </c>
      <c r="F1086" t="s">
        <v>66</v>
      </c>
      <c r="G1086" t="s">
        <v>67</v>
      </c>
      <c r="H1086">
        <v>1</v>
      </c>
      <c r="I1086" s="7">
        <v>0</v>
      </c>
      <c r="J1086">
        <v>59.95</v>
      </c>
      <c r="K1086" t="str">
        <f>PROPER('Original Data'!K1086)</f>
        <v>Credit Card</v>
      </c>
      <c r="L1086" t="s">
        <v>55</v>
      </c>
      <c r="M1086" t="str" cm="1">
        <f t="array" ref="M1086">_xlfn.IFS(OR('Original Data'!M1086=0,'Original Data'!M1086="No",'Original Data'!M1086=FALSE),"No",OR('Original Data'!M1086=1,'Original Data'!M1086="Yes",'Original Data'!M1086=TRUE),"Yes")</f>
        <v>Yes</v>
      </c>
    </row>
    <row r="1087" spans="1:13" x14ac:dyDescent="0.2">
      <c r="A1087">
        <v>1086</v>
      </c>
      <c r="B1087" t="s">
        <v>19</v>
      </c>
      <c r="C1087" s="5">
        <v>45512</v>
      </c>
      <c r="D1087" t="s">
        <v>20</v>
      </c>
      <c r="E1087" t="s">
        <v>15</v>
      </c>
      <c r="F1087" t="s">
        <v>44</v>
      </c>
      <c r="H1087">
        <v>2</v>
      </c>
      <c r="I1087" s="7">
        <v>0.05</v>
      </c>
      <c r="J1087">
        <v>170.9</v>
      </c>
      <c r="K1087" t="str">
        <f>PROPER('Original Data'!K1087)</f>
        <v>Cash</v>
      </c>
      <c r="L1087" t="s">
        <v>23</v>
      </c>
      <c r="M1087" t="str" cm="1">
        <f t="array" ref="M1087">_xlfn.IFS(OR('Original Data'!M1087=0,'Original Data'!M1087="No",'Original Data'!M1087=FALSE),"No",OR('Original Data'!M1087=1,'Original Data'!M1087="Yes",'Original Data'!M1087=TRUE),"Yes")</f>
        <v>Yes</v>
      </c>
    </row>
    <row r="1088" spans="1:13" x14ac:dyDescent="0.2">
      <c r="A1088">
        <v>1087</v>
      </c>
      <c r="B1088" t="s">
        <v>61</v>
      </c>
      <c r="C1088" s="5">
        <v>45218</v>
      </c>
      <c r="D1088" t="str">
        <f>VLOOKUP(B1088,'Original Data'!B:D,3,FALSE)</f>
        <v>Leather Belt</v>
      </c>
      <c r="E1088" t="str">
        <f>_xlfn.XLOOKUP('Cleaned Data'!B293,'Original Data'!B:B,'Original Data'!E:E)</f>
        <v>Banana Republic</v>
      </c>
      <c r="F1088" t="s">
        <v>16</v>
      </c>
      <c r="G1088" t="s">
        <v>17</v>
      </c>
      <c r="H1088">
        <v>3</v>
      </c>
      <c r="I1088" s="7">
        <v>0</v>
      </c>
      <c r="J1088">
        <v>104.97</v>
      </c>
      <c r="K1088" t="str">
        <f>PROPER('Original Data'!K1088)</f>
        <v>Credit Card</v>
      </c>
      <c r="L1088" t="s">
        <v>55</v>
      </c>
      <c r="M1088" t="s">
        <v>92</v>
      </c>
    </row>
    <row r="1089" spans="1:13" x14ac:dyDescent="0.2">
      <c r="A1089">
        <v>1088</v>
      </c>
      <c r="B1089" t="s">
        <v>71</v>
      </c>
      <c r="C1089" s="5">
        <v>45532</v>
      </c>
      <c r="D1089" t="str">
        <f>VLOOKUP(B1089,'Original Data'!B:D,3,FALSE)</f>
        <v>Crossbody Bag</v>
      </c>
      <c r="E1089" t="str">
        <f>_xlfn.XLOOKUP('Cleaned Data'!B1199,'Original Data'!B:B,'Original Data'!E:E)</f>
        <v>GAP</v>
      </c>
      <c r="F1089" t="s">
        <v>66</v>
      </c>
      <c r="G1089" t="s">
        <v>67</v>
      </c>
      <c r="H1089">
        <v>3</v>
      </c>
      <c r="I1089" s="7">
        <v>0.2</v>
      </c>
      <c r="J1089">
        <v>143.88</v>
      </c>
      <c r="K1089" t="str">
        <f>PROPER('Original Data'!K1089)</f>
        <v>Credit Card</v>
      </c>
      <c r="L1089" t="s">
        <v>45</v>
      </c>
      <c r="M1089" t="s">
        <v>92</v>
      </c>
    </row>
    <row r="1090" spans="1:13" x14ac:dyDescent="0.2">
      <c r="A1090">
        <v>1089</v>
      </c>
      <c r="B1090" t="s">
        <v>81</v>
      </c>
      <c r="C1090" s="5">
        <v>45524</v>
      </c>
      <c r="D1090" t="s">
        <v>82</v>
      </c>
      <c r="E1090" t="s">
        <v>15</v>
      </c>
      <c r="F1090" t="s">
        <v>34</v>
      </c>
      <c r="G1090" t="s">
        <v>35</v>
      </c>
      <c r="H1090">
        <v>5</v>
      </c>
      <c r="I1090" s="7">
        <v>0.15</v>
      </c>
      <c r="J1090">
        <v>339.79</v>
      </c>
      <c r="K1090" t="str">
        <f>PROPER('Original Data'!K1090)</f>
        <v>Apple Pay</v>
      </c>
      <c r="L1090" t="s">
        <v>45</v>
      </c>
      <c r="M1090" t="str" cm="1">
        <f t="array" ref="M1090">_xlfn.IFS(OR('Original Data'!M1090=0,'Original Data'!M1090="No",'Original Data'!M1090=FALSE),"No",OR('Original Data'!M1090=1,'Original Data'!M1090="Yes",'Original Data'!M1090=TRUE),"Yes")</f>
        <v>Yes</v>
      </c>
    </row>
    <row r="1091" spans="1:13" x14ac:dyDescent="0.2">
      <c r="A1091">
        <v>1090</v>
      </c>
      <c r="B1091" t="s">
        <v>74</v>
      </c>
      <c r="C1091" s="5">
        <v>45192</v>
      </c>
      <c r="D1091" t="s">
        <v>75</v>
      </c>
      <c r="E1091" t="s">
        <v>76</v>
      </c>
      <c r="F1091" t="s">
        <v>40</v>
      </c>
      <c r="G1091" t="s">
        <v>17</v>
      </c>
      <c r="H1091">
        <v>3</v>
      </c>
      <c r="I1091" s="7">
        <v>0</v>
      </c>
      <c r="J1091">
        <v>134.85</v>
      </c>
      <c r="K1091" t="str">
        <f>PROPER('Original Data'!K1091)</f>
        <v>Credit Card</v>
      </c>
      <c r="L1091" t="s">
        <v>63</v>
      </c>
      <c r="M1091" t="str" cm="1">
        <f t="array" ref="M1091">_xlfn.IFS(OR('Original Data'!M1091=0,'Original Data'!M1091="No",'Original Data'!M1091=FALSE),"No",OR('Original Data'!M1091=1,'Original Data'!M1091="Yes",'Original Data'!M1091=TRUE),"Yes")</f>
        <v>No</v>
      </c>
    </row>
    <row r="1092" spans="1:13" x14ac:dyDescent="0.2">
      <c r="A1092">
        <v>1091</v>
      </c>
      <c r="B1092" t="s">
        <v>56</v>
      </c>
      <c r="C1092" s="5">
        <v>45540</v>
      </c>
      <c r="D1092" t="str">
        <f>VLOOKUP(B1092,'Original Data'!B:D,3,FALSE)</f>
        <v>Rain Jacket</v>
      </c>
      <c r="E1092" t="str">
        <f>_xlfn.XLOOKUP('Cleaned Data'!B1070,'Original Data'!B:B,'Original Data'!E:E)</f>
        <v>Old Navy</v>
      </c>
      <c r="F1092" t="s">
        <v>34</v>
      </c>
      <c r="G1092" t="s">
        <v>35</v>
      </c>
      <c r="H1092">
        <v>4</v>
      </c>
      <c r="I1092" s="7">
        <v>0.1</v>
      </c>
      <c r="J1092">
        <v>306</v>
      </c>
      <c r="K1092" t="str">
        <f>PROPER('Original Data'!K1092)</f>
        <v>Debit Card</v>
      </c>
      <c r="L1092" t="s">
        <v>23</v>
      </c>
      <c r="M1092" t="s">
        <v>92</v>
      </c>
    </row>
    <row r="1093" spans="1:13" x14ac:dyDescent="0.2">
      <c r="A1093">
        <v>1092</v>
      </c>
      <c r="B1093" t="s">
        <v>78</v>
      </c>
      <c r="C1093" s="5">
        <v>45089</v>
      </c>
      <c r="D1093" t="str">
        <f>VLOOKUP(B1093,'Original Data'!B:D,3,FALSE)</f>
        <v>Cargo Shorts</v>
      </c>
      <c r="E1093" t="str">
        <f>_xlfn.XLOOKUP('Cleaned Data'!B1000,'Original Data'!B:B,'Original Data'!E:E)</f>
        <v>Athleta</v>
      </c>
      <c r="F1093" t="s">
        <v>53</v>
      </c>
      <c r="G1093" t="s">
        <v>54</v>
      </c>
      <c r="H1093">
        <v>1</v>
      </c>
      <c r="I1093" s="7">
        <v>0.15</v>
      </c>
      <c r="J1093">
        <v>33.96</v>
      </c>
      <c r="K1093" t="str">
        <f>PROPER('Original Data'!K1093)</f>
        <v>Cash</v>
      </c>
      <c r="M1093" t="s">
        <v>92</v>
      </c>
    </row>
    <row r="1094" spans="1:13" x14ac:dyDescent="0.2">
      <c r="A1094">
        <v>1093</v>
      </c>
      <c r="B1094" t="s">
        <v>83</v>
      </c>
      <c r="C1094" s="5">
        <v>45242</v>
      </c>
      <c r="D1094" t="s">
        <v>84</v>
      </c>
      <c r="E1094" t="s">
        <v>48</v>
      </c>
      <c r="F1094" t="s">
        <v>21</v>
      </c>
      <c r="G1094" t="s">
        <v>22</v>
      </c>
      <c r="H1094">
        <v>5</v>
      </c>
      <c r="I1094" s="7">
        <v>0.25</v>
      </c>
      <c r="J1094">
        <v>187.31</v>
      </c>
      <c r="K1094" t="str">
        <f>PROPER('Original Data'!K1094)</f>
        <v>Gift Card</v>
      </c>
      <c r="L1094" t="s">
        <v>49</v>
      </c>
      <c r="M1094" t="str" cm="1">
        <f t="array" ref="M1094">_xlfn.IFS(OR('Original Data'!M1094=0,'Original Data'!M1094="No",'Original Data'!M1094=FALSE),"No",OR('Original Data'!M1094=1,'Original Data'!M1094="Yes",'Original Data'!M1094=TRUE),"Yes")</f>
        <v>No</v>
      </c>
    </row>
    <row r="1095" spans="1:13" x14ac:dyDescent="0.2">
      <c r="A1095">
        <v>1094</v>
      </c>
      <c r="B1095" t="s">
        <v>46</v>
      </c>
      <c r="C1095" s="5">
        <v>44929</v>
      </c>
      <c r="D1095" t="s">
        <v>47</v>
      </c>
      <c r="E1095" t="s">
        <v>48</v>
      </c>
      <c r="G1095" t="s">
        <v>25</v>
      </c>
      <c r="H1095">
        <v>2</v>
      </c>
      <c r="I1095" s="7">
        <v>0.1</v>
      </c>
      <c r="J1095">
        <v>89.91</v>
      </c>
      <c r="K1095" t="str">
        <f>PROPER('Original Data'!K1095)</f>
        <v>Gift Card</v>
      </c>
      <c r="L1095" t="s">
        <v>41</v>
      </c>
      <c r="M1095" t="str" cm="1">
        <f t="array" ref="M1095">_xlfn.IFS(OR('Original Data'!M1095=0,'Original Data'!M1095="No",'Original Data'!M1095=FALSE),"No",OR('Original Data'!M1095=1,'Original Data'!M1095="Yes",'Original Data'!M1095=TRUE),"Yes")</f>
        <v>No</v>
      </c>
    </row>
    <row r="1096" spans="1:13" x14ac:dyDescent="0.2">
      <c r="A1096">
        <v>1095</v>
      </c>
      <c r="B1096" t="s">
        <v>56</v>
      </c>
      <c r="C1096" s="5">
        <v>45209</v>
      </c>
      <c r="D1096" t="s">
        <v>57</v>
      </c>
      <c r="E1096" t="s">
        <v>48</v>
      </c>
      <c r="F1096" t="s">
        <v>21</v>
      </c>
      <c r="G1096" t="s">
        <v>22</v>
      </c>
      <c r="H1096">
        <v>2</v>
      </c>
      <c r="I1096" s="7">
        <v>0</v>
      </c>
      <c r="J1096">
        <v>170</v>
      </c>
      <c r="K1096" t="str">
        <f>PROPER('Original Data'!K1096)</f>
        <v>Gift Card</v>
      </c>
      <c r="L1096" t="s">
        <v>41</v>
      </c>
      <c r="M1096" t="str" cm="1">
        <f t="array" ref="M1096">_xlfn.IFS(OR('Original Data'!M1096=0,'Original Data'!M1096="No",'Original Data'!M1096=FALSE),"No",OR('Original Data'!M1096=1,'Original Data'!M1096="Yes",'Original Data'!M1096=TRUE),"Yes")</f>
        <v>Yes</v>
      </c>
    </row>
    <row r="1097" spans="1:13" x14ac:dyDescent="0.2">
      <c r="A1097">
        <v>1096</v>
      </c>
      <c r="B1097" t="s">
        <v>46</v>
      </c>
      <c r="C1097" s="5">
        <v>45127</v>
      </c>
      <c r="D1097" t="str">
        <f>VLOOKUP(B1097,'Original Data'!B:D,3,FALSE)</f>
        <v>Canvas Sneakers</v>
      </c>
      <c r="E1097" t="str">
        <f>_xlfn.XLOOKUP('Cleaned Data'!B223,'Original Data'!B:B,'Original Data'!E:E)</f>
        <v>Athleta</v>
      </c>
      <c r="G1097" t="s">
        <v>25</v>
      </c>
      <c r="H1097">
        <v>3</v>
      </c>
      <c r="I1097" s="7">
        <v>0</v>
      </c>
      <c r="J1097">
        <v>149.85</v>
      </c>
      <c r="K1097" t="str">
        <f>PROPER('Original Data'!K1097)</f>
        <v>Credit Card</v>
      </c>
      <c r="M1097" t="s">
        <v>92</v>
      </c>
    </row>
    <row r="1098" spans="1:13" x14ac:dyDescent="0.2">
      <c r="A1098">
        <v>1097</v>
      </c>
      <c r="B1098" t="s">
        <v>78</v>
      </c>
      <c r="C1098" s="5">
        <v>45337</v>
      </c>
      <c r="D1098" t="s">
        <v>79</v>
      </c>
      <c r="E1098" t="s">
        <v>48</v>
      </c>
      <c r="F1098" t="s">
        <v>40</v>
      </c>
      <c r="G1098" t="s">
        <v>17</v>
      </c>
      <c r="H1098">
        <v>3</v>
      </c>
      <c r="I1098" s="7">
        <v>0.25</v>
      </c>
      <c r="J1098">
        <v>89.89</v>
      </c>
      <c r="K1098" t="str">
        <f>PROPER('Original Data'!K1098)</f>
        <v>Debit Card</v>
      </c>
      <c r="L1098" t="s">
        <v>30</v>
      </c>
      <c r="M1098" t="str" cm="1">
        <f t="array" ref="M1098">_xlfn.IFS(OR('Original Data'!M1098=0,'Original Data'!M1098="No",'Original Data'!M1098=FALSE),"No",OR('Original Data'!M1098=1,'Original Data'!M1098="Yes",'Original Data'!M1098=TRUE),"Yes")</f>
        <v>Yes</v>
      </c>
    </row>
    <row r="1099" spans="1:13" x14ac:dyDescent="0.2">
      <c r="A1099">
        <v>1098</v>
      </c>
      <c r="B1099" t="s">
        <v>71</v>
      </c>
      <c r="C1099" s="5">
        <v>45050</v>
      </c>
      <c r="D1099" t="s">
        <v>72</v>
      </c>
      <c r="E1099" t="s">
        <v>33</v>
      </c>
      <c r="G1099" t="s">
        <v>25</v>
      </c>
      <c r="H1099">
        <v>3</v>
      </c>
      <c r="I1099" s="7">
        <v>0.25</v>
      </c>
      <c r="J1099">
        <v>134.88999999999999</v>
      </c>
      <c r="K1099" t="str">
        <f>PROPER('Original Data'!K1099)</f>
        <v>Debit Card</v>
      </c>
      <c r="L1099" t="s">
        <v>23</v>
      </c>
      <c r="M1099" t="str" cm="1">
        <f t="array" ref="M1099">_xlfn.IFS(OR('Original Data'!M1099=0,'Original Data'!M1099="No",'Original Data'!M1099=FALSE),"No",OR('Original Data'!M1099=1,'Original Data'!M1099="Yes",'Original Data'!M1099=TRUE),"Yes")</f>
        <v>Yes</v>
      </c>
    </row>
    <row r="1100" spans="1:13" x14ac:dyDescent="0.2">
      <c r="A1100">
        <v>1099</v>
      </c>
      <c r="B1100" t="s">
        <v>64</v>
      </c>
      <c r="C1100" s="5">
        <v>45007</v>
      </c>
      <c r="D1100" t="str">
        <f>VLOOKUP(B1100,'Original Data'!B:D,3,FALSE)</f>
        <v>Wool Sweater</v>
      </c>
      <c r="E1100" t="str">
        <f>_xlfn.XLOOKUP('Cleaned Data'!B521,'Original Data'!B:B,'Original Data'!E:E)</f>
        <v>Old Navy</v>
      </c>
      <c r="F1100" t="s">
        <v>44</v>
      </c>
      <c r="H1100">
        <v>4</v>
      </c>
      <c r="I1100" s="7">
        <v>0.2</v>
      </c>
      <c r="J1100">
        <v>239.84</v>
      </c>
      <c r="K1100" t="str">
        <f>PROPER('Original Data'!K1100)</f>
        <v>Debit Card</v>
      </c>
      <c r="L1100" t="s">
        <v>28</v>
      </c>
      <c r="M1100" t="s">
        <v>92</v>
      </c>
    </row>
    <row r="1101" spans="1:13" x14ac:dyDescent="0.2">
      <c r="A1101">
        <v>1100</v>
      </c>
      <c r="B1101" t="s">
        <v>46</v>
      </c>
      <c r="C1101" s="5">
        <v>45046</v>
      </c>
      <c r="D1101" t="s">
        <v>47</v>
      </c>
      <c r="E1101" t="s">
        <v>48</v>
      </c>
      <c r="F1101" t="s">
        <v>21</v>
      </c>
      <c r="G1101" t="s">
        <v>22</v>
      </c>
      <c r="H1101">
        <v>3</v>
      </c>
      <c r="I1101" s="7">
        <v>0.15</v>
      </c>
      <c r="J1101">
        <v>127.37</v>
      </c>
      <c r="K1101" t="str">
        <f>PROPER('Original Data'!K1101)</f>
        <v>Credit Card</v>
      </c>
      <c r="L1101" t="s">
        <v>23</v>
      </c>
      <c r="M1101" t="str" cm="1">
        <f t="array" ref="M1101">_xlfn.IFS(OR('Original Data'!M1101=0,'Original Data'!M1101="No",'Original Data'!M1101=FALSE),"No",OR('Original Data'!M1101=1,'Original Data'!M1101="Yes",'Original Data'!M1101=TRUE),"Yes")</f>
        <v>No</v>
      </c>
    </row>
    <row r="1102" spans="1:13" x14ac:dyDescent="0.2">
      <c r="A1102">
        <v>1101</v>
      </c>
      <c r="B1102" t="s">
        <v>81</v>
      </c>
      <c r="C1102" s="5">
        <v>45610</v>
      </c>
      <c r="D1102" t="s">
        <v>82</v>
      </c>
      <c r="E1102" t="s">
        <v>15</v>
      </c>
      <c r="F1102" t="s">
        <v>16</v>
      </c>
      <c r="G1102" t="s">
        <v>17</v>
      </c>
      <c r="H1102">
        <v>3</v>
      </c>
      <c r="I1102" s="7">
        <v>0</v>
      </c>
      <c r="J1102">
        <v>239.85</v>
      </c>
      <c r="K1102" t="str">
        <f>PROPER('Original Data'!K1102)</f>
        <v>Debit Card</v>
      </c>
      <c r="L1102" t="s">
        <v>49</v>
      </c>
      <c r="M1102" t="str" cm="1">
        <f t="array" ref="M1102">_xlfn.IFS(OR('Original Data'!M1102=0,'Original Data'!M1102="No",'Original Data'!M1102=FALSE),"No",OR('Original Data'!M1102=1,'Original Data'!M1102="Yes",'Original Data'!M1102=TRUE),"Yes")</f>
        <v>Yes</v>
      </c>
    </row>
    <row r="1103" spans="1:13" x14ac:dyDescent="0.2">
      <c r="A1103">
        <v>1102</v>
      </c>
      <c r="B1103" t="s">
        <v>74</v>
      </c>
      <c r="C1103" s="5">
        <v>44993</v>
      </c>
      <c r="D1103" t="s">
        <v>75</v>
      </c>
      <c r="E1103" t="s">
        <v>76</v>
      </c>
      <c r="F1103" t="s">
        <v>44</v>
      </c>
      <c r="H1103">
        <v>5</v>
      </c>
      <c r="I1103" s="7">
        <v>0.25</v>
      </c>
      <c r="J1103">
        <v>168.56</v>
      </c>
      <c r="K1103" t="str">
        <f>PROPER('Original Data'!K1103)</f>
        <v>Apple Pay</v>
      </c>
      <c r="L1103" t="s">
        <v>63</v>
      </c>
      <c r="M1103" t="str" cm="1">
        <f t="array" ref="M1103">_xlfn.IFS(OR('Original Data'!M1103=0,'Original Data'!M1103="No",'Original Data'!M1103=FALSE),"No",OR('Original Data'!M1103=1,'Original Data'!M1103="Yes",'Original Data'!M1103=TRUE),"Yes")</f>
        <v>No</v>
      </c>
    </row>
    <row r="1104" spans="1:13" x14ac:dyDescent="0.2">
      <c r="A1104">
        <v>1103</v>
      </c>
      <c r="B1104" t="s">
        <v>61</v>
      </c>
      <c r="C1104" s="5">
        <v>45423</v>
      </c>
      <c r="D1104" t="s">
        <v>62</v>
      </c>
      <c r="E1104" t="s">
        <v>33</v>
      </c>
      <c r="F1104" t="s">
        <v>16</v>
      </c>
      <c r="G1104" t="s">
        <v>17</v>
      </c>
      <c r="H1104">
        <v>2</v>
      </c>
      <c r="I1104" s="7">
        <v>0.25</v>
      </c>
      <c r="J1104">
        <v>52.48</v>
      </c>
      <c r="K1104" t="str">
        <f>PROPER('Original Data'!K1104)</f>
        <v>Credit Card</v>
      </c>
      <c r="L1104" t="s">
        <v>30</v>
      </c>
      <c r="M1104" t="str" cm="1">
        <f t="array" ref="M1104">_xlfn.IFS(OR('Original Data'!M1104=0,'Original Data'!M1104="No",'Original Data'!M1104=FALSE),"No",OR('Original Data'!M1104=1,'Original Data'!M1104="Yes",'Original Data'!M1104=TRUE),"Yes")</f>
        <v>No</v>
      </c>
    </row>
    <row r="1105" spans="1:13" x14ac:dyDescent="0.2">
      <c r="A1105">
        <v>1104</v>
      </c>
      <c r="B1105" t="s">
        <v>81</v>
      </c>
      <c r="C1105" s="5">
        <v>44995</v>
      </c>
      <c r="D1105" t="s">
        <v>82</v>
      </c>
      <c r="E1105" t="s">
        <v>15</v>
      </c>
      <c r="F1105" t="s">
        <v>53</v>
      </c>
      <c r="G1105" t="s">
        <v>54</v>
      </c>
      <c r="H1105">
        <v>5</v>
      </c>
      <c r="I1105" s="7">
        <v>0</v>
      </c>
      <c r="J1105">
        <v>399.75</v>
      </c>
      <c r="K1105" t="str">
        <f>PROPER('Original Data'!K1105)</f>
        <v>Credit Card</v>
      </c>
      <c r="L1105" t="s">
        <v>41</v>
      </c>
      <c r="M1105" t="str" cm="1">
        <f t="array" ref="M1105">_xlfn.IFS(OR('Original Data'!M1105=0,'Original Data'!M1105="No",'Original Data'!M1105=FALSE),"No",OR('Original Data'!M1105=1,'Original Data'!M1105="Yes",'Original Data'!M1105=TRUE),"Yes")</f>
        <v>Yes</v>
      </c>
    </row>
    <row r="1106" spans="1:13" x14ac:dyDescent="0.2">
      <c r="A1106">
        <v>1105</v>
      </c>
      <c r="B1106" t="s">
        <v>56</v>
      </c>
      <c r="C1106" s="5">
        <v>44983</v>
      </c>
      <c r="D1106" t="s">
        <v>57</v>
      </c>
      <c r="E1106" t="s">
        <v>48</v>
      </c>
      <c r="F1106" t="s">
        <v>44</v>
      </c>
      <c r="H1106">
        <v>2</v>
      </c>
      <c r="I1106" s="7">
        <v>0</v>
      </c>
      <c r="J1106">
        <v>170</v>
      </c>
      <c r="K1106" t="str">
        <f>PROPER('Original Data'!K1106)</f>
        <v>Gift Card</v>
      </c>
      <c r="L1106" t="s">
        <v>55</v>
      </c>
      <c r="M1106" t="str" cm="1">
        <f t="array" ref="M1106">_xlfn.IFS(OR('Original Data'!M1106=0,'Original Data'!M1106="No",'Original Data'!M1106=FALSE),"No",OR('Original Data'!M1106=1,'Original Data'!M1106="Yes",'Original Data'!M1106=TRUE),"Yes")</f>
        <v>Yes</v>
      </c>
    </row>
    <row r="1107" spans="1:13" x14ac:dyDescent="0.2">
      <c r="A1107">
        <v>1106</v>
      </c>
      <c r="B1107" t="s">
        <v>19</v>
      </c>
      <c r="C1107" s="5">
        <v>45012</v>
      </c>
      <c r="D1107" t="s">
        <v>20</v>
      </c>
      <c r="E1107" t="s">
        <v>15</v>
      </c>
      <c r="F1107" t="s">
        <v>16</v>
      </c>
      <c r="G1107" t="s">
        <v>17</v>
      </c>
      <c r="H1107">
        <v>3</v>
      </c>
      <c r="I1107" s="7">
        <v>0.25</v>
      </c>
      <c r="J1107">
        <v>202.39</v>
      </c>
      <c r="K1107" t="str">
        <f>PROPER('Original Data'!K1107)</f>
        <v>Credit Card</v>
      </c>
      <c r="L1107" t="s">
        <v>45</v>
      </c>
      <c r="M1107" t="str" cm="1">
        <f t="array" ref="M1107">_xlfn.IFS(OR('Original Data'!M1107=0,'Original Data'!M1107="No",'Original Data'!M1107=FALSE),"No",OR('Original Data'!M1107=1,'Original Data'!M1107="Yes",'Original Data'!M1107=TRUE),"Yes")</f>
        <v>Yes</v>
      </c>
    </row>
    <row r="1108" spans="1:13" x14ac:dyDescent="0.2">
      <c r="A1108">
        <v>1107</v>
      </c>
      <c r="B1108" t="s">
        <v>56</v>
      </c>
      <c r="C1108" s="5">
        <v>45068</v>
      </c>
      <c r="D1108" t="s">
        <v>57</v>
      </c>
      <c r="E1108" t="s">
        <v>48</v>
      </c>
      <c r="F1108" t="s">
        <v>16</v>
      </c>
      <c r="G1108" t="s">
        <v>17</v>
      </c>
      <c r="H1108">
        <v>4</v>
      </c>
      <c r="I1108" s="7">
        <v>0.1</v>
      </c>
      <c r="J1108">
        <v>306</v>
      </c>
      <c r="K1108" t="s">
        <v>90</v>
      </c>
      <c r="L1108" t="s">
        <v>30</v>
      </c>
      <c r="M1108" t="str" cm="1">
        <f t="array" ref="M1108">_xlfn.IFS(OR('Original Data'!M1108=0,'Original Data'!M1108="No",'Original Data'!M1108=FALSE),"No",OR('Original Data'!M1108=1,'Original Data'!M1108="Yes",'Original Data'!M1108=TRUE),"Yes")</f>
        <v>Yes</v>
      </c>
    </row>
    <row r="1109" spans="1:13" x14ac:dyDescent="0.2">
      <c r="A1109">
        <v>1108</v>
      </c>
      <c r="B1109" t="s">
        <v>24</v>
      </c>
      <c r="C1109" s="5">
        <v>45192</v>
      </c>
      <c r="D1109" t="s">
        <v>87</v>
      </c>
      <c r="E1109" t="s">
        <v>39</v>
      </c>
      <c r="G1109" t="s">
        <v>25</v>
      </c>
      <c r="H1109">
        <v>1</v>
      </c>
      <c r="I1109" s="7">
        <v>0</v>
      </c>
      <c r="J1109">
        <v>44.95</v>
      </c>
      <c r="K1109" t="str">
        <f>PROPER('Original Data'!K1109)</f>
        <v>Credit Card</v>
      </c>
      <c r="L1109" t="s">
        <v>23</v>
      </c>
      <c r="M1109" t="str" cm="1">
        <f t="array" ref="M1109">_xlfn.IFS(OR('Original Data'!M1109=0,'Original Data'!M1109="No",'Original Data'!M1109=FALSE),"No",OR('Original Data'!M1109=1,'Original Data'!M1109="Yes",'Original Data'!M1109=TRUE),"Yes")</f>
        <v>Yes</v>
      </c>
    </row>
    <row r="1110" spans="1:13" x14ac:dyDescent="0.2">
      <c r="A1110">
        <v>1109</v>
      </c>
      <c r="B1110" t="s">
        <v>42</v>
      </c>
      <c r="C1110" s="5">
        <v>45531</v>
      </c>
      <c r="D1110" t="s">
        <v>91</v>
      </c>
      <c r="E1110" t="s">
        <v>15</v>
      </c>
      <c r="F1110" t="s">
        <v>21</v>
      </c>
      <c r="G1110" t="s">
        <v>22</v>
      </c>
      <c r="H1110">
        <v>1</v>
      </c>
      <c r="I1110" s="7">
        <v>0</v>
      </c>
      <c r="J1110">
        <v>129</v>
      </c>
      <c r="K1110" t="str">
        <f>PROPER('Original Data'!K1110)</f>
        <v>Apple Pay</v>
      </c>
      <c r="L1110" t="s">
        <v>41</v>
      </c>
      <c r="M1110" t="str" cm="1">
        <f t="array" ref="M1110">_xlfn.IFS(OR('Original Data'!M1110=0,'Original Data'!M1110="No",'Original Data'!M1110=FALSE),"No",OR('Original Data'!M1110=1,'Original Data'!M1110="Yes",'Original Data'!M1110=TRUE),"Yes")</f>
        <v>Yes</v>
      </c>
    </row>
    <row r="1111" spans="1:13" x14ac:dyDescent="0.2">
      <c r="A1111">
        <v>1110</v>
      </c>
      <c r="B1111" t="s">
        <v>58</v>
      </c>
      <c r="C1111" s="5">
        <v>45657</v>
      </c>
      <c r="D1111" t="str">
        <f>VLOOKUP(B1111,'Original Data'!B:D,3,FALSE)</f>
        <v>Slim Chino Pants</v>
      </c>
      <c r="E1111" t="str">
        <f>_xlfn.XLOOKUP('Cleaned Data'!B108,'Original Data'!B:B,'Original Data'!E:E)</f>
        <v>Athleta</v>
      </c>
      <c r="F1111" t="s">
        <v>44</v>
      </c>
      <c r="H1111">
        <v>3</v>
      </c>
      <c r="I1111" s="7">
        <v>0</v>
      </c>
      <c r="J1111">
        <v>179.85</v>
      </c>
      <c r="K1111" t="str">
        <f>PROPER('Original Data'!K1111)</f>
        <v>Debit Card</v>
      </c>
      <c r="L1111" t="s">
        <v>49</v>
      </c>
      <c r="M1111" t="s">
        <v>92</v>
      </c>
    </row>
    <row r="1112" spans="1:13" x14ac:dyDescent="0.2">
      <c r="A1112">
        <v>1111</v>
      </c>
      <c r="B1112" t="s">
        <v>83</v>
      </c>
      <c r="C1112" s="5">
        <v>45313</v>
      </c>
      <c r="D1112" t="s">
        <v>84</v>
      </c>
      <c r="E1112" t="s">
        <v>48</v>
      </c>
      <c r="F1112" t="s">
        <v>66</v>
      </c>
      <c r="G1112" t="s">
        <v>67</v>
      </c>
      <c r="H1112">
        <v>3</v>
      </c>
      <c r="I1112" s="7">
        <v>0.05</v>
      </c>
      <c r="J1112">
        <v>142.36000000000001</v>
      </c>
      <c r="K1112" t="str">
        <f>PROPER('Original Data'!K1112)</f>
        <v>Apple Pay</v>
      </c>
      <c r="L1112" t="s">
        <v>49</v>
      </c>
      <c r="M1112" t="str" cm="1">
        <f t="array" ref="M1112">_xlfn.IFS(OR('Original Data'!M1112=0,'Original Data'!M1112="No",'Original Data'!M1112=FALSE),"No",OR('Original Data'!M1112=1,'Original Data'!M1112="Yes",'Original Data'!M1112=TRUE),"Yes")</f>
        <v>No</v>
      </c>
    </row>
    <row r="1113" spans="1:13" x14ac:dyDescent="0.2">
      <c r="A1113">
        <v>1112</v>
      </c>
      <c r="B1113" t="s">
        <v>50</v>
      </c>
      <c r="C1113" s="5">
        <v>45181</v>
      </c>
      <c r="D1113" t="str">
        <f>VLOOKUP(B1113,'Original Data'!B:D,3,FALSE)</f>
        <v>High-Rise Jeans</v>
      </c>
      <c r="E1113" t="str">
        <f>_xlfn.XLOOKUP('Cleaned Data'!B584,'Original Data'!B:B,'Original Data'!E:E)</f>
        <v>GAP</v>
      </c>
      <c r="F1113" t="s">
        <v>21</v>
      </c>
      <c r="G1113" t="s">
        <v>22</v>
      </c>
      <c r="H1113">
        <v>5</v>
      </c>
      <c r="I1113" s="7">
        <v>0.2</v>
      </c>
      <c r="J1113">
        <v>279.8</v>
      </c>
      <c r="K1113" t="s">
        <v>90</v>
      </c>
      <c r="M1113" t="s">
        <v>92</v>
      </c>
    </row>
    <row r="1114" spans="1:13" x14ac:dyDescent="0.2">
      <c r="A1114">
        <v>1113</v>
      </c>
      <c r="B1114" t="s">
        <v>74</v>
      </c>
      <c r="C1114" s="5">
        <v>45175</v>
      </c>
      <c r="D1114" t="s">
        <v>75</v>
      </c>
      <c r="E1114" t="s">
        <v>76</v>
      </c>
      <c r="F1114" t="s">
        <v>16</v>
      </c>
      <c r="G1114" t="s">
        <v>17</v>
      </c>
      <c r="H1114">
        <v>2</v>
      </c>
      <c r="I1114" s="7">
        <v>0</v>
      </c>
      <c r="J1114">
        <v>89.9</v>
      </c>
      <c r="K1114" t="s">
        <v>90</v>
      </c>
      <c r="L1114" t="s">
        <v>49</v>
      </c>
      <c r="M1114" t="str" cm="1">
        <f t="array" ref="M1114">_xlfn.IFS(OR('Original Data'!M1114=0,'Original Data'!M1114="No",'Original Data'!M1114=FALSE),"No",OR('Original Data'!M1114=1,'Original Data'!M1114="Yes",'Original Data'!M1114=TRUE),"Yes")</f>
        <v>No</v>
      </c>
    </row>
    <row r="1115" spans="1:13" x14ac:dyDescent="0.2">
      <c r="A1115">
        <v>1114</v>
      </c>
      <c r="B1115" t="s">
        <v>71</v>
      </c>
      <c r="C1115" s="5">
        <v>45331</v>
      </c>
      <c r="D1115" t="str">
        <f>VLOOKUP(B1115,'Original Data'!B:D,3,FALSE)</f>
        <v>Crossbody Bag</v>
      </c>
      <c r="E1115" t="str">
        <f>_xlfn.XLOOKUP('Cleaned Data'!B1201,'Original Data'!B:B,'Original Data'!E:E)</f>
        <v>Intermix</v>
      </c>
      <c r="F1115" t="s">
        <v>34</v>
      </c>
      <c r="G1115" t="s">
        <v>35</v>
      </c>
      <c r="H1115">
        <v>1</v>
      </c>
      <c r="I1115" s="7">
        <v>0.2</v>
      </c>
      <c r="J1115">
        <v>47.96</v>
      </c>
      <c r="K1115" t="str">
        <f>PROPER('Original Data'!K1115)</f>
        <v>Cash</v>
      </c>
      <c r="L1115" t="s">
        <v>45</v>
      </c>
      <c r="M1115" t="s">
        <v>92</v>
      </c>
    </row>
    <row r="1116" spans="1:13" x14ac:dyDescent="0.2">
      <c r="A1116">
        <v>1115</v>
      </c>
      <c r="B1116" t="s">
        <v>37</v>
      </c>
      <c r="C1116" s="5">
        <v>45541</v>
      </c>
      <c r="D1116" t="s">
        <v>38</v>
      </c>
      <c r="E1116" t="s">
        <v>39</v>
      </c>
      <c r="F1116" t="s">
        <v>16</v>
      </c>
      <c r="G1116" t="s">
        <v>17</v>
      </c>
      <c r="H1116">
        <v>1</v>
      </c>
      <c r="I1116" s="7">
        <v>0.05</v>
      </c>
      <c r="J1116">
        <v>61.7</v>
      </c>
      <c r="K1116" t="str">
        <f>PROPER('Original Data'!K1116)</f>
        <v>Apple Pay</v>
      </c>
      <c r="L1116" t="s">
        <v>49</v>
      </c>
      <c r="M1116" t="str" cm="1">
        <f t="array" ref="M1116">_xlfn.IFS(OR('Original Data'!M1116=0,'Original Data'!M1116="No",'Original Data'!M1116=FALSE),"No",OR('Original Data'!M1116=1,'Original Data'!M1116="Yes",'Original Data'!M1116=TRUE),"Yes")</f>
        <v>Yes</v>
      </c>
    </row>
    <row r="1117" spans="1:13" x14ac:dyDescent="0.2">
      <c r="A1117">
        <v>1116</v>
      </c>
      <c r="B1117" t="s">
        <v>31</v>
      </c>
      <c r="C1117" s="5">
        <v>45496</v>
      </c>
      <c r="D1117" t="s">
        <v>32</v>
      </c>
      <c r="E1117" t="s">
        <v>33</v>
      </c>
      <c r="F1117" t="s">
        <v>40</v>
      </c>
      <c r="G1117" t="s">
        <v>17</v>
      </c>
      <c r="H1117">
        <v>2</v>
      </c>
      <c r="J1117">
        <v>159.9</v>
      </c>
      <c r="K1117" t="str">
        <f>PROPER('Original Data'!K1117)</f>
        <v>Cash</v>
      </c>
      <c r="L1117" t="s">
        <v>30</v>
      </c>
      <c r="M1117" t="str" cm="1">
        <f t="array" ref="M1117">_xlfn.IFS(OR('Original Data'!M1117=0,'Original Data'!M1117="No",'Original Data'!M1117=FALSE),"No",OR('Original Data'!M1117=1,'Original Data'!M1117="Yes",'Original Data'!M1117=TRUE),"Yes")</f>
        <v>No</v>
      </c>
    </row>
    <row r="1118" spans="1:13" x14ac:dyDescent="0.2">
      <c r="A1118">
        <v>1117</v>
      </c>
      <c r="B1118" t="s">
        <v>46</v>
      </c>
      <c r="C1118" s="5">
        <v>45592</v>
      </c>
      <c r="D1118" t="s">
        <v>47</v>
      </c>
      <c r="E1118" t="s">
        <v>48</v>
      </c>
      <c r="F1118" t="s">
        <v>53</v>
      </c>
      <c r="G1118" t="s">
        <v>54</v>
      </c>
      <c r="H1118">
        <v>5</v>
      </c>
      <c r="I1118" s="7">
        <v>0</v>
      </c>
      <c r="J1118">
        <v>249.75</v>
      </c>
      <c r="K1118" t="str">
        <f>PROPER('Original Data'!K1118)</f>
        <v>Cash</v>
      </c>
      <c r="L1118" t="s">
        <v>28</v>
      </c>
      <c r="M1118" t="str" cm="1">
        <f t="array" ref="M1118">_xlfn.IFS(OR('Original Data'!M1118=0,'Original Data'!M1118="No",'Original Data'!M1118=FALSE),"No",OR('Original Data'!M1118=1,'Original Data'!M1118="Yes",'Original Data'!M1118=TRUE),"Yes")</f>
        <v>No</v>
      </c>
    </row>
    <row r="1119" spans="1:13" x14ac:dyDescent="0.2">
      <c r="A1119">
        <v>1118</v>
      </c>
      <c r="B1119" t="s">
        <v>78</v>
      </c>
      <c r="C1119" s="5">
        <v>45481</v>
      </c>
      <c r="D1119" t="s">
        <v>79</v>
      </c>
      <c r="E1119" t="s">
        <v>48</v>
      </c>
      <c r="G1119" t="s">
        <v>25</v>
      </c>
      <c r="H1119">
        <v>2</v>
      </c>
      <c r="I1119" s="7">
        <v>0.1</v>
      </c>
      <c r="J1119">
        <v>71.91</v>
      </c>
      <c r="K1119" t="s">
        <v>90</v>
      </c>
      <c r="L1119" t="s">
        <v>23</v>
      </c>
      <c r="M1119" t="str" cm="1">
        <f t="array" ref="M1119">_xlfn.IFS(OR('Original Data'!M1119=0,'Original Data'!M1119="No",'Original Data'!M1119=FALSE),"No",OR('Original Data'!M1119=1,'Original Data'!M1119="Yes",'Original Data'!M1119=TRUE),"Yes")</f>
        <v>Yes</v>
      </c>
    </row>
    <row r="1120" spans="1:13" x14ac:dyDescent="0.2">
      <c r="A1120">
        <v>1119</v>
      </c>
      <c r="B1120" t="s">
        <v>19</v>
      </c>
      <c r="C1120" s="5">
        <v>45312</v>
      </c>
      <c r="D1120" t="s">
        <v>20</v>
      </c>
      <c r="E1120" t="s">
        <v>15</v>
      </c>
      <c r="F1120" t="s">
        <v>16</v>
      </c>
      <c r="G1120" t="s">
        <v>17</v>
      </c>
      <c r="H1120">
        <v>3</v>
      </c>
      <c r="I1120" s="7">
        <v>0</v>
      </c>
      <c r="J1120">
        <v>269.85000000000002</v>
      </c>
      <c r="K1120" t="str">
        <f>PROPER('Original Data'!K1120)</f>
        <v>Apple Pay</v>
      </c>
      <c r="L1120" t="s">
        <v>28</v>
      </c>
      <c r="M1120" t="str" cm="1">
        <f t="array" ref="M1120">_xlfn.IFS(OR('Original Data'!M1120=0,'Original Data'!M1120="No",'Original Data'!M1120=FALSE),"No",OR('Original Data'!M1120=1,'Original Data'!M1120="Yes",'Original Data'!M1120=TRUE),"Yes")</f>
        <v>Yes</v>
      </c>
    </row>
    <row r="1121" spans="1:13" x14ac:dyDescent="0.2">
      <c r="A1121">
        <v>1120</v>
      </c>
      <c r="B1121" t="s">
        <v>50</v>
      </c>
      <c r="C1121" s="5">
        <v>45019</v>
      </c>
      <c r="D1121" t="s">
        <v>51</v>
      </c>
      <c r="E1121" t="s">
        <v>15</v>
      </c>
      <c r="F1121" t="s">
        <v>44</v>
      </c>
      <c r="H1121">
        <v>5</v>
      </c>
      <c r="I1121" s="7">
        <v>0.2</v>
      </c>
      <c r="J1121">
        <v>279.8</v>
      </c>
      <c r="K1121" t="str">
        <f>PROPER('Original Data'!K1121)</f>
        <v>Apple Pay</v>
      </c>
      <c r="L1121" t="s">
        <v>30</v>
      </c>
      <c r="M1121" t="str" cm="1">
        <f t="array" ref="M1121">_xlfn.IFS(OR('Original Data'!M1121=0,'Original Data'!M1121="No",'Original Data'!M1121=FALSE),"No",OR('Original Data'!M1121=1,'Original Data'!M1121="Yes",'Original Data'!M1121=TRUE),"Yes")</f>
        <v>No</v>
      </c>
    </row>
    <row r="1122" spans="1:13" x14ac:dyDescent="0.2">
      <c r="A1122">
        <v>1121</v>
      </c>
      <c r="B1122" t="s">
        <v>83</v>
      </c>
      <c r="C1122" s="5">
        <v>44972</v>
      </c>
      <c r="D1122" t="s">
        <v>84</v>
      </c>
      <c r="E1122" t="s">
        <v>48</v>
      </c>
      <c r="F1122" t="s">
        <v>26</v>
      </c>
      <c r="G1122" t="s">
        <v>22</v>
      </c>
      <c r="H1122">
        <v>3</v>
      </c>
      <c r="I1122" s="7">
        <v>0.05</v>
      </c>
      <c r="J1122">
        <v>142.36000000000001</v>
      </c>
      <c r="K1122" t="str">
        <f>PROPER('Original Data'!K1122)</f>
        <v>Apple Pay</v>
      </c>
      <c r="L1122" t="s">
        <v>28</v>
      </c>
      <c r="M1122" t="str" cm="1">
        <f t="array" ref="M1122">_xlfn.IFS(OR('Original Data'!M1122=0,'Original Data'!M1122="No",'Original Data'!M1122=FALSE),"No",OR('Original Data'!M1122=1,'Original Data'!M1122="Yes",'Original Data'!M1122=TRUE),"Yes")</f>
        <v>No</v>
      </c>
    </row>
    <row r="1123" spans="1:13" x14ac:dyDescent="0.2">
      <c r="A1123">
        <v>1122</v>
      </c>
      <c r="B1123" t="s">
        <v>37</v>
      </c>
      <c r="C1123" s="5">
        <v>45653</v>
      </c>
      <c r="D1123" t="s">
        <v>38</v>
      </c>
      <c r="E1123" t="s">
        <v>39</v>
      </c>
      <c r="F1123" t="s">
        <v>21</v>
      </c>
      <c r="G1123" t="s">
        <v>22</v>
      </c>
      <c r="H1123">
        <v>4</v>
      </c>
      <c r="I1123" s="7">
        <v>0.15</v>
      </c>
      <c r="J1123">
        <v>220.83</v>
      </c>
      <c r="K1123" t="str">
        <f>PROPER('Original Data'!K1123)</f>
        <v>Gift Card</v>
      </c>
      <c r="M1123" t="str" cm="1">
        <f t="array" ref="M1123">_xlfn.IFS(OR('Original Data'!M1123=0,'Original Data'!M1123="No",'Original Data'!M1123=FALSE),"No",OR('Original Data'!M1123=1,'Original Data'!M1123="Yes",'Original Data'!M1123=TRUE),"Yes")</f>
        <v>Yes</v>
      </c>
    </row>
    <row r="1124" spans="1:13" x14ac:dyDescent="0.2">
      <c r="A1124">
        <v>1123</v>
      </c>
      <c r="B1124" t="s">
        <v>61</v>
      </c>
      <c r="C1124" s="5">
        <v>45227</v>
      </c>
      <c r="D1124" t="s">
        <v>62</v>
      </c>
      <c r="E1124" t="s">
        <v>33</v>
      </c>
      <c r="F1124" t="s">
        <v>53</v>
      </c>
      <c r="G1124" t="s">
        <v>54</v>
      </c>
      <c r="H1124">
        <v>3</v>
      </c>
      <c r="I1124" s="7">
        <v>0.1</v>
      </c>
      <c r="J1124">
        <v>94.47</v>
      </c>
      <c r="K1124" t="str">
        <f>PROPER('Original Data'!K1124)</f>
        <v>Credit Card</v>
      </c>
      <c r="L1124" t="s">
        <v>45</v>
      </c>
      <c r="M1124" t="str" cm="1">
        <f t="array" ref="M1124">_xlfn.IFS(OR('Original Data'!M1124=0,'Original Data'!M1124="No",'Original Data'!M1124=FALSE),"No",OR('Original Data'!M1124=1,'Original Data'!M1124="Yes",'Original Data'!M1124=TRUE),"Yes")</f>
        <v>No</v>
      </c>
    </row>
    <row r="1125" spans="1:13" x14ac:dyDescent="0.2">
      <c r="A1125">
        <v>1124</v>
      </c>
      <c r="B1125" t="s">
        <v>85</v>
      </c>
      <c r="C1125" s="5">
        <v>45249</v>
      </c>
      <c r="D1125" t="s">
        <v>86</v>
      </c>
      <c r="E1125" t="s">
        <v>76</v>
      </c>
      <c r="F1125" t="s">
        <v>40</v>
      </c>
      <c r="G1125" t="s">
        <v>17</v>
      </c>
      <c r="H1125">
        <v>3</v>
      </c>
      <c r="I1125" s="7">
        <v>0</v>
      </c>
      <c r="J1125">
        <v>269.85000000000002</v>
      </c>
      <c r="K1125" t="str">
        <f>PROPER('Original Data'!K1125)</f>
        <v>Cash</v>
      </c>
      <c r="L1125" t="s">
        <v>23</v>
      </c>
      <c r="M1125" t="str" cm="1">
        <f t="array" ref="M1125">_xlfn.IFS(OR('Original Data'!M1125=0,'Original Data'!M1125="No",'Original Data'!M1125=FALSE),"No",OR('Original Data'!M1125=1,'Original Data'!M1125="Yes",'Original Data'!M1125=TRUE),"Yes")</f>
        <v>Yes</v>
      </c>
    </row>
    <row r="1126" spans="1:13" x14ac:dyDescent="0.2">
      <c r="A1126">
        <v>1125</v>
      </c>
      <c r="B1126" t="s">
        <v>37</v>
      </c>
      <c r="C1126" s="5">
        <v>45175</v>
      </c>
      <c r="D1126" t="s">
        <v>38</v>
      </c>
      <c r="E1126" t="s">
        <v>39</v>
      </c>
      <c r="F1126" t="s">
        <v>34</v>
      </c>
      <c r="G1126" t="s">
        <v>35</v>
      </c>
      <c r="H1126">
        <v>5</v>
      </c>
      <c r="I1126" s="7">
        <v>0</v>
      </c>
      <c r="J1126">
        <v>324.75</v>
      </c>
      <c r="K1126" t="str">
        <f>PROPER('Original Data'!K1126)</f>
        <v>Debit Card</v>
      </c>
      <c r="L1126" t="s">
        <v>28</v>
      </c>
      <c r="M1126" t="str" cm="1">
        <f t="array" ref="M1126">_xlfn.IFS(OR('Original Data'!M1126=0,'Original Data'!M1126="No",'Original Data'!M1126=FALSE),"No",OR('Original Data'!M1126=1,'Original Data'!M1126="Yes",'Original Data'!M1126=TRUE),"Yes")</f>
        <v>Yes</v>
      </c>
    </row>
    <row r="1127" spans="1:13" x14ac:dyDescent="0.2">
      <c r="A1127">
        <v>1126</v>
      </c>
      <c r="B1127" t="s">
        <v>74</v>
      </c>
      <c r="C1127" s="5">
        <v>44936</v>
      </c>
      <c r="D1127" t="s">
        <v>75</v>
      </c>
      <c r="E1127" t="s">
        <v>76</v>
      </c>
      <c r="F1127" t="s">
        <v>16</v>
      </c>
      <c r="G1127" t="s">
        <v>17</v>
      </c>
      <c r="H1127">
        <v>3</v>
      </c>
      <c r="I1127" s="7">
        <v>0.15</v>
      </c>
      <c r="J1127">
        <v>114.62</v>
      </c>
      <c r="K1127" t="str">
        <f>PROPER('Original Data'!K1127)</f>
        <v>Credit Card</v>
      </c>
      <c r="L1127" t="s">
        <v>63</v>
      </c>
      <c r="M1127" t="str" cm="1">
        <f t="array" ref="M1127">_xlfn.IFS(OR('Original Data'!M1127=0,'Original Data'!M1127="No",'Original Data'!M1127=FALSE),"No",OR('Original Data'!M1127=1,'Original Data'!M1127="Yes",'Original Data'!M1127=TRUE),"Yes")</f>
        <v>No</v>
      </c>
    </row>
    <row r="1128" spans="1:13" x14ac:dyDescent="0.2">
      <c r="A1128">
        <v>1127</v>
      </c>
      <c r="B1128" t="s">
        <v>83</v>
      </c>
      <c r="C1128" s="5">
        <v>45554</v>
      </c>
      <c r="D1128" t="s">
        <v>84</v>
      </c>
      <c r="E1128" t="s">
        <v>48</v>
      </c>
      <c r="F1128" t="s">
        <v>44</v>
      </c>
      <c r="H1128">
        <v>3</v>
      </c>
      <c r="I1128" s="7">
        <v>0.2</v>
      </c>
      <c r="J1128">
        <v>119.88</v>
      </c>
      <c r="K1128" t="str">
        <f>PROPER('Original Data'!K1128)</f>
        <v>Cash</v>
      </c>
      <c r="L1128" t="s">
        <v>45</v>
      </c>
      <c r="M1128" t="str" cm="1">
        <f t="array" ref="M1128">_xlfn.IFS(OR('Original Data'!M1128=0,'Original Data'!M1128="No",'Original Data'!M1128=FALSE),"No",OR('Original Data'!M1128=1,'Original Data'!M1128="Yes",'Original Data'!M1128=TRUE),"Yes")</f>
        <v>No</v>
      </c>
    </row>
    <row r="1129" spans="1:13" x14ac:dyDescent="0.2">
      <c r="A1129">
        <v>1128</v>
      </c>
      <c r="B1129" t="s">
        <v>56</v>
      </c>
      <c r="C1129" s="5">
        <v>45476</v>
      </c>
      <c r="D1129" t="s">
        <v>57</v>
      </c>
      <c r="E1129" t="s">
        <v>48</v>
      </c>
      <c r="F1129" t="s">
        <v>53</v>
      </c>
      <c r="G1129" t="s">
        <v>54</v>
      </c>
      <c r="H1129">
        <v>5</v>
      </c>
      <c r="I1129" s="7">
        <v>0.2</v>
      </c>
      <c r="J1129">
        <v>340</v>
      </c>
      <c r="K1129" t="str">
        <f>PROPER('Original Data'!K1129)</f>
        <v>Credit Card</v>
      </c>
      <c r="L1129" t="s">
        <v>23</v>
      </c>
      <c r="M1129" t="str" cm="1">
        <f t="array" ref="M1129">_xlfn.IFS(OR('Original Data'!M1129=0,'Original Data'!M1129="No",'Original Data'!M1129=FALSE),"No",OR('Original Data'!M1129=1,'Original Data'!M1129="Yes",'Original Data'!M1129=TRUE),"Yes")</f>
        <v>Yes</v>
      </c>
    </row>
    <row r="1130" spans="1:13" x14ac:dyDescent="0.2">
      <c r="A1130">
        <v>1129</v>
      </c>
      <c r="B1130" t="s">
        <v>24</v>
      </c>
      <c r="C1130" s="5">
        <v>45345</v>
      </c>
      <c r="D1130" t="s">
        <v>87</v>
      </c>
      <c r="E1130" t="s">
        <v>39</v>
      </c>
      <c r="F1130" t="s">
        <v>40</v>
      </c>
      <c r="G1130" t="s">
        <v>17</v>
      </c>
      <c r="H1130">
        <v>1</v>
      </c>
      <c r="I1130" s="7">
        <v>0.1</v>
      </c>
      <c r="J1130">
        <v>40.46</v>
      </c>
      <c r="K1130" t="str">
        <f>PROPER('Original Data'!K1130)</f>
        <v>Debit Card</v>
      </c>
      <c r="L1130" t="s">
        <v>41</v>
      </c>
      <c r="M1130" t="str" cm="1">
        <f t="array" ref="M1130">_xlfn.IFS(OR('Original Data'!M1130=0,'Original Data'!M1130="No",'Original Data'!M1130=FALSE),"No",OR('Original Data'!M1130=1,'Original Data'!M1130="Yes",'Original Data'!M1130=TRUE),"Yes")</f>
        <v>Yes</v>
      </c>
    </row>
    <row r="1131" spans="1:13" x14ac:dyDescent="0.2">
      <c r="A1131">
        <v>1130</v>
      </c>
      <c r="B1131" t="s">
        <v>88</v>
      </c>
      <c r="C1131" s="5">
        <v>45529</v>
      </c>
      <c r="D1131" t="s">
        <v>89</v>
      </c>
      <c r="E1131" t="s">
        <v>33</v>
      </c>
      <c r="F1131" t="s">
        <v>44</v>
      </c>
      <c r="H1131">
        <v>2</v>
      </c>
      <c r="I1131" s="7">
        <v>0.2</v>
      </c>
      <c r="J1131">
        <v>316.8</v>
      </c>
      <c r="K1131" t="str">
        <f>PROPER('Original Data'!K1131)</f>
        <v>Apple Pay</v>
      </c>
      <c r="L1131" t="s">
        <v>49</v>
      </c>
      <c r="M1131" t="str" cm="1">
        <f t="array" ref="M1131">_xlfn.IFS(OR('Original Data'!M1131=0,'Original Data'!M1131="No",'Original Data'!M1131=FALSE),"No",OR('Original Data'!M1131=1,'Original Data'!M1131="Yes",'Original Data'!M1131=TRUE),"Yes")</f>
        <v>No</v>
      </c>
    </row>
    <row r="1132" spans="1:13" x14ac:dyDescent="0.2">
      <c r="A1132">
        <v>1131</v>
      </c>
      <c r="B1132" t="s">
        <v>50</v>
      </c>
      <c r="C1132" s="5">
        <v>45259</v>
      </c>
      <c r="D1132" t="s">
        <v>51</v>
      </c>
      <c r="E1132" t="s">
        <v>15</v>
      </c>
      <c r="F1132" t="s">
        <v>66</v>
      </c>
      <c r="G1132" t="s">
        <v>67</v>
      </c>
      <c r="H1132">
        <v>2</v>
      </c>
      <c r="I1132" s="7">
        <v>0</v>
      </c>
      <c r="J1132">
        <v>139.9</v>
      </c>
      <c r="K1132" t="s">
        <v>90</v>
      </c>
      <c r="L1132" t="s">
        <v>63</v>
      </c>
      <c r="M1132" t="str" cm="1">
        <f t="array" ref="M1132">_xlfn.IFS(OR('Original Data'!M1132=0,'Original Data'!M1132="No",'Original Data'!M1132=FALSE),"No",OR('Original Data'!M1132=1,'Original Data'!M1132="Yes",'Original Data'!M1132=TRUE),"Yes")</f>
        <v>No</v>
      </c>
    </row>
    <row r="1133" spans="1:13" x14ac:dyDescent="0.2">
      <c r="A1133">
        <v>1132</v>
      </c>
      <c r="B1133" t="s">
        <v>37</v>
      </c>
      <c r="C1133" s="5">
        <v>45084</v>
      </c>
      <c r="D1133" t="s">
        <v>38</v>
      </c>
      <c r="E1133" t="s">
        <v>39</v>
      </c>
      <c r="F1133" t="s">
        <v>66</v>
      </c>
      <c r="G1133" t="s">
        <v>67</v>
      </c>
      <c r="H1133">
        <v>1</v>
      </c>
      <c r="I1133" s="7">
        <v>0</v>
      </c>
      <c r="J1133">
        <v>64.95</v>
      </c>
      <c r="K1133" t="str">
        <f>PROPER('Original Data'!K1133)</f>
        <v>Debit Card</v>
      </c>
      <c r="L1133" t="s">
        <v>45</v>
      </c>
      <c r="M1133" t="str" cm="1">
        <f t="array" ref="M1133">_xlfn.IFS(OR('Original Data'!M1133=0,'Original Data'!M1133="No",'Original Data'!M1133=FALSE),"No",OR('Original Data'!M1133=1,'Original Data'!M1133="Yes",'Original Data'!M1133=TRUE),"Yes")</f>
        <v>Yes</v>
      </c>
    </row>
    <row r="1134" spans="1:13" x14ac:dyDescent="0.2">
      <c r="A1134">
        <v>1133</v>
      </c>
      <c r="B1134" t="s">
        <v>24</v>
      </c>
      <c r="C1134" s="5">
        <v>45607</v>
      </c>
      <c r="D1134" t="s">
        <v>87</v>
      </c>
      <c r="E1134" t="s">
        <v>39</v>
      </c>
      <c r="F1134" t="s">
        <v>16</v>
      </c>
      <c r="G1134" t="s">
        <v>17</v>
      </c>
      <c r="H1134">
        <v>4</v>
      </c>
      <c r="I1134" s="7">
        <v>0.2</v>
      </c>
      <c r="J1134">
        <v>143.84</v>
      </c>
      <c r="K1134" t="str">
        <f>PROPER('Original Data'!K1134)</f>
        <v>Debit Card</v>
      </c>
      <c r="L1134" t="s">
        <v>63</v>
      </c>
      <c r="M1134" t="str" cm="1">
        <f t="array" ref="M1134">_xlfn.IFS(OR('Original Data'!M1134=0,'Original Data'!M1134="No",'Original Data'!M1134=FALSE),"No",OR('Original Data'!M1134=1,'Original Data'!M1134="Yes",'Original Data'!M1134=TRUE),"Yes")</f>
        <v>Yes</v>
      </c>
    </row>
    <row r="1135" spans="1:13" x14ac:dyDescent="0.2">
      <c r="A1135">
        <v>1134</v>
      </c>
      <c r="B1135" t="s">
        <v>83</v>
      </c>
      <c r="C1135" s="5">
        <v>45548</v>
      </c>
      <c r="D1135" t="s">
        <v>84</v>
      </c>
      <c r="E1135" t="s">
        <v>48</v>
      </c>
      <c r="F1135" t="s">
        <v>16</v>
      </c>
      <c r="G1135" t="s">
        <v>17</v>
      </c>
      <c r="H1135">
        <v>3</v>
      </c>
      <c r="I1135" s="7">
        <v>0</v>
      </c>
      <c r="J1135">
        <v>149.85</v>
      </c>
      <c r="K1135" t="str">
        <f>PROPER('Original Data'!K1135)</f>
        <v>Credit Card</v>
      </c>
      <c r="L1135" t="s">
        <v>23</v>
      </c>
      <c r="M1135" t="str" cm="1">
        <f t="array" ref="M1135">_xlfn.IFS(OR('Original Data'!M1135=0,'Original Data'!M1135="No",'Original Data'!M1135=FALSE),"No",OR('Original Data'!M1135=1,'Original Data'!M1135="Yes",'Original Data'!M1135=TRUE),"Yes")</f>
        <v>No</v>
      </c>
    </row>
    <row r="1136" spans="1:13" x14ac:dyDescent="0.2">
      <c r="A1136">
        <v>1135</v>
      </c>
      <c r="B1136" t="s">
        <v>56</v>
      </c>
      <c r="C1136" s="5">
        <v>45161</v>
      </c>
      <c r="D1136" t="s">
        <v>57</v>
      </c>
      <c r="E1136" t="s">
        <v>48</v>
      </c>
      <c r="F1136" t="s">
        <v>40</v>
      </c>
      <c r="G1136" t="s">
        <v>17</v>
      </c>
      <c r="H1136">
        <v>5</v>
      </c>
      <c r="I1136" s="7">
        <v>0</v>
      </c>
      <c r="J1136">
        <v>425</v>
      </c>
      <c r="K1136" t="s">
        <v>90</v>
      </c>
      <c r="L1136" t="s">
        <v>30</v>
      </c>
      <c r="M1136" t="str" cm="1">
        <f t="array" ref="M1136">_xlfn.IFS(OR('Original Data'!M1136=0,'Original Data'!M1136="No",'Original Data'!M1136=FALSE),"No",OR('Original Data'!M1136=1,'Original Data'!M1136="Yes",'Original Data'!M1136=TRUE),"Yes")</f>
        <v>Yes</v>
      </c>
    </row>
    <row r="1137" spans="1:13" x14ac:dyDescent="0.2">
      <c r="A1137">
        <v>1136</v>
      </c>
      <c r="B1137" t="s">
        <v>24</v>
      </c>
      <c r="C1137" s="5">
        <v>45280</v>
      </c>
      <c r="D1137" t="str">
        <f>VLOOKUP(B1137,'Original Data'!B:D,3,FALSE)</f>
        <v>NULL</v>
      </c>
      <c r="E1137" t="str">
        <f>_xlfn.XLOOKUP('Cleaned Data'!B880,'Original Data'!B:B,'Original Data'!E:E)</f>
        <v>Banana Republic</v>
      </c>
      <c r="F1137" t="s">
        <v>21</v>
      </c>
      <c r="G1137" t="s">
        <v>22</v>
      </c>
      <c r="H1137">
        <v>4</v>
      </c>
      <c r="I1137" s="7">
        <v>0.1</v>
      </c>
      <c r="J1137">
        <v>161.82</v>
      </c>
      <c r="K1137" t="str">
        <f>PROPER('Original Data'!K1137)</f>
        <v>Gift Card</v>
      </c>
      <c r="L1137" t="s">
        <v>55</v>
      </c>
      <c r="M1137" t="s">
        <v>92</v>
      </c>
    </row>
    <row r="1138" spans="1:13" x14ac:dyDescent="0.2">
      <c r="A1138">
        <v>1137</v>
      </c>
      <c r="B1138" t="s">
        <v>42</v>
      </c>
      <c r="C1138" s="5">
        <v>45492</v>
      </c>
      <c r="D1138" t="s">
        <v>91</v>
      </c>
      <c r="E1138" t="s">
        <v>15</v>
      </c>
      <c r="G1138" t="s">
        <v>25</v>
      </c>
      <c r="H1138">
        <v>4</v>
      </c>
      <c r="I1138" s="7">
        <v>0.05</v>
      </c>
      <c r="J1138">
        <v>490.2</v>
      </c>
      <c r="K1138" t="str">
        <f>PROPER('Original Data'!K1138)</f>
        <v>Apple Pay</v>
      </c>
      <c r="L1138" t="s">
        <v>41</v>
      </c>
      <c r="M1138" t="str" cm="1">
        <f t="array" ref="M1138">_xlfn.IFS(OR('Original Data'!M1138=0,'Original Data'!M1138="No",'Original Data'!M1138=FALSE),"No",OR('Original Data'!M1138=1,'Original Data'!M1138="Yes",'Original Data'!M1138=TRUE),"Yes")</f>
        <v>Yes</v>
      </c>
    </row>
    <row r="1139" spans="1:13" x14ac:dyDescent="0.2">
      <c r="A1139">
        <v>1138</v>
      </c>
      <c r="B1139" t="s">
        <v>78</v>
      </c>
      <c r="C1139" s="5">
        <v>45508</v>
      </c>
      <c r="D1139" t="s">
        <v>79</v>
      </c>
      <c r="E1139" t="s">
        <v>48</v>
      </c>
      <c r="F1139" t="s">
        <v>44</v>
      </c>
      <c r="H1139">
        <v>5</v>
      </c>
      <c r="I1139" s="7">
        <v>0.1</v>
      </c>
      <c r="J1139">
        <v>179.78</v>
      </c>
      <c r="K1139" t="s">
        <v>90</v>
      </c>
      <c r="M1139" t="str" cm="1">
        <f t="array" ref="M1139">_xlfn.IFS(OR('Original Data'!M1139=0,'Original Data'!M1139="No",'Original Data'!M1139=FALSE),"No",OR('Original Data'!M1139=1,'Original Data'!M1139="Yes",'Original Data'!M1139=TRUE),"Yes")</f>
        <v>Yes</v>
      </c>
    </row>
    <row r="1140" spans="1:13" x14ac:dyDescent="0.2">
      <c r="A1140">
        <v>1139</v>
      </c>
      <c r="B1140" t="s">
        <v>83</v>
      </c>
      <c r="C1140" s="5">
        <v>45207</v>
      </c>
      <c r="D1140" t="s">
        <v>84</v>
      </c>
      <c r="E1140" t="s">
        <v>48</v>
      </c>
      <c r="F1140" t="s">
        <v>40</v>
      </c>
      <c r="G1140" t="s">
        <v>17</v>
      </c>
      <c r="H1140">
        <v>5</v>
      </c>
      <c r="I1140" s="7">
        <v>0</v>
      </c>
      <c r="J1140">
        <v>249.75</v>
      </c>
      <c r="K1140" t="str">
        <f>PROPER('Original Data'!K1140)</f>
        <v>Credit Card</v>
      </c>
      <c r="L1140" t="s">
        <v>41</v>
      </c>
      <c r="M1140" t="str" cm="1">
        <f t="array" ref="M1140">_xlfn.IFS(OR('Original Data'!M1140=0,'Original Data'!M1140="No",'Original Data'!M1140=FALSE),"No",OR('Original Data'!M1140=1,'Original Data'!M1140="Yes",'Original Data'!M1140=TRUE),"Yes")</f>
        <v>No</v>
      </c>
    </row>
    <row r="1141" spans="1:13" x14ac:dyDescent="0.2">
      <c r="A1141">
        <v>1140</v>
      </c>
      <c r="B1141" t="s">
        <v>31</v>
      </c>
      <c r="C1141" s="5">
        <v>45591</v>
      </c>
      <c r="D1141" t="s">
        <v>32</v>
      </c>
      <c r="E1141" t="s">
        <v>33</v>
      </c>
      <c r="F1141" t="s">
        <v>53</v>
      </c>
      <c r="G1141" t="s">
        <v>54</v>
      </c>
      <c r="H1141">
        <v>3</v>
      </c>
      <c r="I1141" s="7">
        <v>0</v>
      </c>
      <c r="J1141">
        <v>239.85</v>
      </c>
      <c r="K1141" t="s">
        <v>90</v>
      </c>
      <c r="L1141" t="s">
        <v>63</v>
      </c>
      <c r="M1141" t="str" cm="1">
        <f t="array" ref="M1141">_xlfn.IFS(OR('Original Data'!M1141=0,'Original Data'!M1141="No",'Original Data'!M1141=FALSE),"No",OR('Original Data'!M1141=1,'Original Data'!M1141="Yes",'Original Data'!M1141=TRUE),"Yes")</f>
        <v>No</v>
      </c>
    </row>
    <row r="1142" spans="1:13" x14ac:dyDescent="0.2">
      <c r="A1142">
        <v>1141</v>
      </c>
      <c r="B1142" t="s">
        <v>13</v>
      </c>
      <c r="C1142" s="5">
        <v>45456</v>
      </c>
      <c r="D1142" t="s">
        <v>14</v>
      </c>
      <c r="E1142" t="s">
        <v>15</v>
      </c>
      <c r="F1142" t="s">
        <v>44</v>
      </c>
      <c r="H1142">
        <v>4</v>
      </c>
      <c r="I1142" s="7">
        <v>0</v>
      </c>
      <c r="J1142">
        <v>79.959999999999994</v>
      </c>
      <c r="K1142" t="str">
        <f>PROPER('Original Data'!K1142)</f>
        <v>Debit Card</v>
      </c>
      <c r="L1142" t="s">
        <v>63</v>
      </c>
      <c r="M1142" t="s">
        <v>92</v>
      </c>
    </row>
    <row r="1143" spans="1:13" x14ac:dyDescent="0.2">
      <c r="A1143">
        <v>1142</v>
      </c>
      <c r="B1143" t="s">
        <v>13</v>
      </c>
      <c r="C1143" s="5">
        <v>45371</v>
      </c>
      <c r="D1143" t="s">
        <v>14</v>
      </c>
      <c r="E1143" t="s">
        <v>15</v>
      </c>
      <c r="F1143" t="s">
        <v>66</v>
      </c>
      <c r="G1143" t="s">
        <v>67</v>
      </c>
      <c r="H1143">
        <v>1</v>
      </c>
      <c r="I1143" s="7">
        <v>0</v>
      </c>
      <c r="J1143">
        <v>19.989999999999998</v>
      </c>
      <c r="K1143" t="str">
        <f>PROPER('Original Data'!K1143)</f>
        <v>Gift Card</v>
      </c>
      <c r="L1143" t="s">
        <v>28</v>
      </c>
      <c r="M1143" t="str" cm="1">
        <f t="array" ref="M1143">_xlfn.IFS(OR('Original Data'!M1143=0,'Original Data'!M1143="No",'Original Data'!M1143=FALSE),"No",OR('Original Data'!M1143=1,'Original Data'!M1143="Yes",'Original Data'!M1143=TRUE),"Yes")</f>
        <v>No</v>
      </c>
    </row>
    <row r="1144" spans="1:13" x14ac:dyDescent="0.2">
      <c r="A1144">
        <v>1143</v>
      </c>
      <c r="B1144" t="s">
        <v>46</v>
      </c>
      <c r="C1144" s="5">
        <v>45308</v>
      </c>
      <c r="D1144" t="s">
        <v>47</v>
      </c>
      <c r="E1144" t="s">
        <v>48</v>
      </c>
      <c r="F1144" t="s">
        <v>21</v>
      </c>
      <c r="G1144" t="s">
        <v>22</v>
      </c>
      <c r="H1144">
        <v>1</v>
      </c>
      <c r="I1144" s="7">
        <v>0</v>
      </c>
      <c r="J1144">
        <v>49.95</v>
      </c>
      <c r="K1144" t="str">
        <f>PROPER('Original Data'!K1144)</f>
        <v>Debit Card</v>
      </c>
      <c r="L1144" t="s">
        <v>30</v>
      </c>
      <c r="M1144" t="str" cm="1">
        <f t="array" ref="M1144">_xlfn.IFS(OR('Original Data'!M1144=0,'Original Data'!M1144="No",'Original Data'!M1144=FALSE),"No",OR('Original Data'!M1144=1,'Original Data'!M1144="Yes",'Original Data'!M1144=TRUE),"Yes")</f>
        <v>No</v>
      </c>
    </row>
    <row r="1145" spans="1:13" x14ac:dyDescent="0.2">
      <c r="A1145">
        <v>1144</v>
      </c>
      <c r="B1145" t="s">
        <v>81</v>
      </c>
      <c r="C1145" s="5">
        <v>45358</v>
      </c>
      <c r="D1145" t="s">
        <v>82</v>
      </c>
      <c r="E1145" t="s">
        <v>15</v>
      </c>
      <c r="F1145" t="s">
        <v>16</v>
      </c>
      <c r="G1145" t="s">
        <v>17</v>
      </c>
      <c r="H1145">
        <v>5</v>
      </c>
      <c r="I1145" s="7">
        <v>0</v>
      </c>
      <c r="J1145">
        <v>399.75</v>
      </c>
      <c r="K1145" t="str">
        <f>PROPER('Original Data'!K1145)</f>
        <v>Cash</v>
      </c>
      <c r="L1145" t="s">
        <v>41</v>
      </c>
      <c r="M1145" t="str" cm="1">
        <f t="array" ref="M1145">_xlfn.IFS(OR('Original Data'!M1145=0,'Original Data'!M1145="No",'Original Data'!M1145=FALSE),"No",OR('Original Data'!M1145=1,'Original Data'!M1145="Yes",'Original Data'!M1145=TRUE),"Yes")</f>
        <v>Yes</v>
      </c>
    </row>
    <row r="1146" spans="1:13" x14ac:dyDescent="0.2">
      <c r="A1146">
        <v>1145</v>
      </c>
      <c r="B1146" t="s">
        <v>24</v>
      </c>
      <c r="C1146" s="5">
        <v>45212</v>
      </c>
      <c r="D1146" t="s">
        <v>87</v>
      </c>
      <c r="E1146" t="s">
        <v>39</v>
      </c>
      <c r="F1146" t="s">
        <v>26</v>
      </c>
      <c r="G1146" t="s">
        <v>22</v>
      </c>
      <c r="H1146">
        <v>4</v>
      </c>
      <c r="I1146" s="7">
        <v>0</v>
      </c>
      <c r="J1146">
        <v>179.8</v>
      </c>
      <c r="K1146" t="str">
        <f>PROPER('Original Data'!K1146)</f>
        <v>Cash</v>
      </c>
      <c r="L1146" t="s">
        <v>23</v>
      </c>
      <c r="M1146" t="str" cm="1">
        <f t="array" ref="M1146">_xlfn.IFS(OR('Original Data'!M1146=0,'Original Data'!M1146="No",'Original Data'!M1146=FALSE),"No",OR('Original Data'!M1146=1,'Original Data'!M1146="Yes",'Original Data'!M1146=TRUE),"Yes")</f>
        <v>Yes</v>
      </c>
    </row>
    <row r="1147" spans="1:13" x14ac:dyDescent="0.2">
      <c r="A1147">
        <v>1146</v>
      </c>
      <c r="B1147" t="s">
        <v>85</v>
      </c>
      <c r="C1147" s="5">
        <v>45589</v>
      </c>
      <c r="D1147" t="s">
        <v>86</v>
      </c>
      <c r="E1147" t="s">
        <v>76</v>
      </c>
      <c r="F1147" t="s">
        <v>21</v>
      </c>
      <c r="G1147" t="s">
        <v>22</v>
      </c>
      <c r="H1147">
        <v>3</v>
      </c>
      <c r="I1147" s="7">
        <v>0</v>
      </c>
      <c r="J1147">
        <v>269.85000000000002</v>
      </c>
      <c r="K1147" t="str">
        <f>PROPER('Original Data'!K1147)</f>
        <v>Credit Card</v>
      </c>
      <c r="L1147" t="s">
        <v>55</v>
      </c>
      <c r="M1147" t="str" cm="1">
        <f t="array" ref="M1147">_xlfn.IFS(OR('Original Data'!M1147=0,'Original Data'!M1147="No",'Original Data'!M1147=FALSE),"No",OR('Original Data'!M1147=1,'Original Data'!M1147="Yes",'Original Data'!M1147=TRUE),"Yes")</f>
        <v>Yes</v>
      </c>
    </row>
    <row r="1148" spans="1:13" x14ac:dyDescent="0.2">
      <c r="A1148">
        <v>1147</v>
      </c>
      <c r="B1148" t="s">
        <v>56</v>
      </c>
      <c r="C1148" s="5">
        <v>45532</v>
      </c>
      <c r="D1148" t="s">
        <v>57</v>
      </c>
      <c r="E1148" t="s">
        <v>48</v>
      </c>
      <c r="F1148" t="s">
        <v>44</v>
      </c>
      <c r="H1148">
        <v>3</v>
      </c>
      <c r="J1148">
        <v>255</v>
      </c>
      <c r="K1148" t="s">
        <v>90</v>
      </c>
      <c r="L1148" t="s">
        <v>28</v>
      </c>
      <c r="M1148" t="str" cm="1">
        <f t="array" ref="M1148">_xlfn.IFS(OR('Original Data'!M1148=0,'Original Data'!M1148="No",'Original Data'!M1148=FALSE),"No",OR('Original Data'!M1148=1,'Original Data'!M1148="Yes",'Original Data'!M1148=TRUE),"Yes")</f>
        <v>Yes</v>
      </c>
    </row>
    <row r="1149" spans="1:13" x14ac:dyDescent="0.2">
      <c r="A1149">
        <v>1148</v>
      </c>
      <c r="B1149" t="s">
        <v>31</v>
      </c>
      <c r="C1149" s="5">
        <v>45166</v>
      </c>
      <c r="D1149" t="s">
        <v>32</v>
      </c>
      <c r="E1149" t="s">
        <v>33</v>
      </c>
      <c r="F1149" t="s">
        <v>21</v>
      </c>
      <c r="G1149" t="s">
        <v>22</v>
      </c>
      <c r="H1149">
        <v>4</v>
      </c>
      <c r="I1149" s="7">
        <v>0.25</v>
      </c>
      <c r="J1149">
        <v>239.85</v>
      </c>
      <c r="K1149" t="s">
        <v>90</v>
      </c>
      <c r="L1149" t="s">
        <v>23</v>
      </c>
      <c r="M1149" t="str" cm="1">
        <f t="array" ref="M1149">_xlfn.IFS(OR('Original Data'!M1149=0,'Original Data'!M1149="No",'Original Data'!M1149=FALSE),"No",OR('Original Data'!M1149=1,'Original Data'!M1149="Yes",'Original Data'!M1149=TRUE),"Yes")</f>
        <v>No</v>
      </c>
    </row>
    <row r="1150" spans="1:13" x14ac:dyDescent="0.2">
      <c r="A1150">
        <v>1149</v>
      </c>
      <c r="B1150" t="s">
        <v>68</v>
      </c>
      <c r="C1150" s="5">
        <v>45298</v>
      </c>
      <c r="D1150" t="s">
        <v>69</v>
      </c>
      <c r="E1150" t="s">
        <v>33</v>
      </c>
      <c r="F1150" t="s">
        <v>16</v>
      </c>
      <c r="G1150" t="s">
        <v>17</v>
      </c>
      <c r="H1150">
        <v>1</v>
      </c>
      <c r="J1150">
        <v>119</v>
      </c>
      <c r="K1150" t="str">
        <f>PROPER('Original Data'!K1150)</f>
        <v>Debit Card</v>
      </c>
      <c r="L1150" t="s">
        <v>28</v>
      </c>
      <c r="M1150" t="str" cm="1">
        <f t="array" ref="M1150">_xlfn.IFS(OR('Original Data'!M1150=0,'Original Data'!M1150="No",'Original Data'!M1150=FALSE),"No",OR('Original Data'!M1150=1,'Original Data'!M1150="Yes",'Original Data'!M1150=TRUE),"Yes")</f>
        <v>No</v>
      </c>
    </row>
    <row r="1151" spans="1:13" x14ac:dyDescent="0.2">
      <c r="A1151">
        <v>1150</v>
      </c>
      <c r="B1151" t="s">
        <v>24</v>
      </c>
      <c r="C1151" s="5">
        <v>45236</v>
      </c>
      <c r="D1151" t="s">
        <v>87</v>
      </c>
      <c r="E1151" t="s">
        <v>39</v>
      </c>
      <c r="F1151" t="s">
        <v>40</v>
      </c>
      <c r="G1151" t="s">
        <v>17</v>
      </c>
      <c r="H1151">
        <v>5</v>
      </c>
      <c r="I1151" s="7">
        <v>0</v>
      </c>
      <c r="J1151">
        <v>224.75</v>
      </c>
      <c r="K1151" t="str">
        <f>PROPER('Original Data'!K1151)</f>
        <v>Credit Card</v>
      </c>
      <c r="L1151" t="s">
        <v>28</v>
      </c>
      <c r="M1151" t="str" cm="1">
        <f t="array" ref="M1151">_xlfn.IFS(OR('Original Data'!M1151=0,'Original Data'!M1151="No",'Original Data'!M1151=FALSE),"No",OR('Original Data'!M1151=1,'Original Data'!M1151="Yes",'Original Data'!M1151=TRUE),"Yes")</f>
        <v>Yes</v>
      </c>
    </row>
    <row r="1152" spans="1:13" x14ac:dyDescent="0.2">
      <c r="A1152">
        <v>1151</v>
      </c>
      <c r="B1152" t="s">
        <v>68</v>
      </c>
      <c r="C1152" s="5">
        <v>45425</v>
      </c>
      <c r="D1152" t="s">
        <v>69</v>
      </c>
      <c r="E1152" t="s">
        <v>33</v>
      </c>
      <c r="F1152" t="s">
        <v>44</v>
      </c>
      <c r="H1152">
        <v>3</v>
      </c>
      <c r="I1152" s="7">
        <v>0.15</v>
      </c>
      <c r="J1152">
        <v>303.45</v>
      </c>
      <c r="K1152" t="str">
        <f>PROPER('Original Data'!K1152)</f>
        <v>Gift Card</v>
      </c>
      <c r="L1152" t="s">
        <v>55</v>
      </c>
      <c r="M1152" t="str" cm="1">
        <f t="array" ref="M1152">_xlfn.IFS(OR('Original Data'!M1152=0,'Original Data'!M1152="No",'Original Data'!M1152=FALSE),"No",OR('Original Data'!M1152=1,'Original Data'!M1152="Yes",'Original Data'!M1152=TRUE),"Yes")</f>
        <v>No</v>
      </c>
    </row>
    <row r="1153" spans="1:13" x14ac:dyDescent="0.2">
      <c r="A1153">
        <v>1152</v>
      </c>
      <c r="B1153" t="s">
        <v>64</v>
      </c>
      <c r="C1153" s="5">
        <v>45199</v>
      </c>
      <c r="D1153" t="str">
        <f>VLOOKUP(B1153,'Original Data'!B:D,3,FALSE)</f>
        <v>Wool Sweater</v>
      </c>
      <c r="E1153" t="str">
        <f>_xlfn.XLOOKUP('Cleaned Data'!B522,'Original Data'!B:B,'Original Data'!E:E)</f>
        <v>Old Navy</v>
      </c>
      <c r="F1153" t="s">
        <v>66</v>
      </c>
      <c r="G1153" t="s">
        <v>67</v>
      </c>
      <c r="H1153">
        <v>1</v>
      </c>
      <c r="I1153" s="7">
        <v>0.2</v>
      </c>
      <c r="J1153">
        <v>59.96</v>
      </c>
      <c r="K1153" t="str">
        <f>PROPER('Original Data'!K1153)</f>
        <v>Gift Card</v>
      </c>
      <c r="L1153" t="s">
        <v>45</v>
      </c>
      <c r="M1153" t="s">
        <v>92</v>
      </c>
    </row>
    <row r="1154" spans="1:13" x14ac:dyDescent="0.2">
      <c r="A1154">
        <v>1153</v>
      </c>
      <c r="B1154" t="s">
        <v>68</v>
      </c>
      <c r="C1154" s="5">
        <v>45281</v>
      </c>
      <c r="D1154" t="s">
        <v>69</v>
      </c>
      <c r="E1154" t="s">
        <v>33</v>
      </c>
      <c r="F1154" t="s">
        <v>53</v>
      </c>
      <c r="G1154" t="s">
        <v>54</v>
      </c>
      <c r="H1154">
        <v>3</v>
      </c>
      <c r="I1154" s="7">
        <v>0</v>
      </c>
      <c r="J1154">
        <v>357</v>
      </c>
      <c r="K1154" t="s">
        <v>90</v>
      </c>
      <c r="L1154" t="s">
        <v>55</v>
      </c>
      <c r="M1154" t="str" cm="1">
        <f t="array" ref="M1154">_xlfn.IFS(OR('Original Data'!M1154=0,'Original Data'!M1154="No",'Original Data'!M1154=FALSE),"No",OR('Original Data'!M1154=1,'Original Data'!M1154="Yes",'Original Data'!M1154=TRUE),"Yes")</f>
        <v>No</v>
      </c>
    </row>
    <row r="1155" spans="1:13" x14ac:dyDescent="0.2">
      <c r="A1155">
        <v>1154</v>
      </c>
      <c r="B1155" t="s">
        <v>83</v>
      </c>
      <c r="C1155" s="5">
        <v>45574</v>
      </c>
      <c r="D1155" t="s">
        <v>84</v>
      </c>
      <c r="E1155" t="s">
        <v>48</v>
      </c>
      <c r="F1155" t="s">
        <v>40</v>
      </c>
      <c r="G1155" t="s">
        <v>17</v>
      </c>
      <c r="H1155">
        <v>1</v>
      </c>
      <c r="I1155" s="7">
        <v>0</v>
      </c>
      <c r="J1155">
        <v>49.95</v>
      </c>
      <c r="K1155" t="str">
        <f>PROPER('Original Data'!K1155)</f>
        <v>Credit Card</v>
      </c>
      <c r="L1155" t="s">
        <v>23</v>
      </c>
      <c r="M1155" t="str" cm="1">
        <f t="array" ref="M1155">_xlfn.IFS(OR('Original Data'!M1155=0,'Original Data'!M1155="No",'Original Data'!M1155=FALSE),"No",OR('Original Data'!M1155=1,'Original Data'!M1155="Yes",'Original Data'!M1155=TRUE),"Yes")</f>
        <v>No</v>
      </c>
    </row>
    <row r="1156" spans="1:13" x14ac:dyDescent="0.2">
      <c r="A1156">
        <v>1155</v>
      </c>
      <c r="B1156" t="s">
        <v>31</v>
      </c>
      <c r="C1156" s="5">
        <v>45213</v>
      </c>
      <c r="D1156" t="s">
        <v>32</v>
      </c>
      <c r="E1156" t="s">
        <v>33</v>
      </c>
      <c r="F1156" t="s">
        <v>44</v>
      </c>
      <c r="H1156">
        <v>5</v>
      </c>
      <c r="I1156" s="7">
        <v>0</v>
      </c>
      <c r="J1156">
        <v>399.75</v>
      </c>
      <c r="K1156" t="str">
        <f>PROPER('Original Data'!K1156)</f>
        <v>Apple Pay</v>
      </c>
      <c r="L1156" t="s">
        <v>49</v>
      </c>
      <c r="M1156" t="str" cm="1">
        <f t="array" ref="M1156">_xlfn.IFS(OR('Original Data'!M1156=0,'Original Data'!M1156="No",'Original Data'!M1156=FALSE),"No",OR('Original Data'!M1156=1,'Original Data'!M1156="Yes",'Original Data'!M1156=TRUE),"Yes")</f>
        <v>No</v>
      </c>
    </row>
    <row r="1157" spans="1:13" x14ac:dyDescent="0.2">
      <c r="A1157">
        <v>1156</v>
      </c>
      <c r="B1157" t="s">
        <v>61</v>
      </c>
      <c r="C1157" s="5">
        <v>45309</v>
      </c>
      <c r="D1157" t="s">
        <v>62</v>
      </c>
      <c r="E1157" t="s">
        <v>33</v>
      </c>
      <c r="F1157" t="s">
        <v>16</v>
      </c>
      <c r="G1157" t="s">
        <v>17</v>
      </c>
      <c r="H1157">
        <v>4</v>
      </c>
      <c r="I1157" s="7">
        <v>0</v>
      </c>
      <c r="J1157">
        <v>139.96</v>
      </c>
      <c r="K1157" t="s">
        <v>90</v>
      </c>
      <c r="L1157" t="s">
        <v>28</v>
      </c>
      <c r="M1157" t="str" cm="1">
        <f t="array" ref="M1157">_xlfn.IFS(OR('Original Data'!M1157=0,'Original Data'!M1157="No",'Original Data'!M1157=FALSE),"No",OR('Original Data'!M1157=1,'Original Data'!M1157="Yes",'Original Data'!M1157=TRUE),"Yes")</f>
        <v>No</v>
      </c>
    </row>
    <row r="1158" spans="1:13" x14ac:dyDescent="0.2">
      <c r="A1158">
        <v>1157</v>
      </c>
      <c r="B1158" t="s">
        <v>13</v>
      </c>
      <c r="C1158" s="5">
        <v>45599</v>
      </c>
      <c r="D1158" t="s">
        <v>14</v>
      </c>
      <c r="E1158" t="s">
        <v>15</v>
      </c>
      <c r="F1158" t="s">
        <v>40</v>
      </c>
      <c r="G1158" t="s">
        <v>17</v>
      </c>
      <c r="H1158">
        <v>5</v>
      </c>
      <c r="I1158" s="7">
        <v>0</v>
      </c>
      <c r="J1158">
        <v>99.95</v>
      </c>
      <c r="K1158" t="str">
        <f>PROPER('Original Data'!K1158)</f>
        <v>Credit Card</v>
      </c>
      <c r="L1158" t="s">
        <v>41</v>
      </c>
      <c r="M1158" t="str" cm="1">
        <f t="array" ref="M1158">_xlfn.IFS(OR('Original Data'!M1158=0,'Original Data'!M1158="No",'Original Data'!M1158=FALSE),"No",OR('Original Data'!M1158=1,'Original Data'!M1158="Yes",'Original Data'!M1158=TRUE),"Yes")</f>
        <v>No</v>
      </c>
    </row>
    <row r="1159" spans="1:13" x14ac:dyDescent="0.2">
      <c r="A1159">
        <v>1158</v>
      </c>
      <c r="B1159" t="s">
        <v>37</v>
      </c>
      <c r="C1159" s="5">
        <v>45367</v>
      </c>
      <c r="D1159" t="s">
        <v>38</v>
      </c>
      <c r="E1159" t="s">
        <v>39</v>
      </c>
      <c r="F1159" t="s">
        <v>66</v>
      </c>
      <c r="G1159" t="s">
        <v>67</v>
      </c>
      <c r="H1159">
        <v>1</v>
      </c>
      <c r="I1159" s="7">
        <v>0</v>
      </c>
      <c r="J1159">
        <v>64.95</v>
      </c>
      <c r="K1159" t="str">
        <f>PROPER('Original Data'!K1159)</f>
        <v>Credit Card</v>
      </c>
      <c r="L1159" t="s">
        <v>41</v>
      </c>
      <c r="M1159" t="str" cm="1">
        <f t="array" ref="M1159">_xlfn.IFS(OR('Original Data'!M1159=0,'Original Data'!M1159="No",'Original Data'!M1159=FALSE),"No",OR('Original Data'!M1159=1,'Original Data'!M1159="Yes",'Original Data'!M1159=TRUE),"Yes")</f>
        <v>Yes</v>
      </c>
    </row>
    <row r="1160" spans="1:13" x14ac:dyDescent="0.2">
      <c r="A1160">
        <v>1159</v>
      </c>
      <c r="B1160" t="s">
        <v>56</v>
      </c>
      <c r="C1160" s="5">
        <v>45071</v>
      </c>
      <c r="D1160" t="s">
        <v>57</v>
      </c>
      <c r="E1160" t="s">
        <v>48</v>
      </c>
      <c r="F1160" t="s">
        <v>53</v>
      </c>
      <c r="G1160" t="s">
        <v>54</v>
      </c>
      <c r="H1160">
        <v>3</v>
      </c>
      <c r="I1160" s="7">
        <v>0.1</v>
      </c>
      <c r="J1160">
        <v>229.5</v>
      </c>
      <c r="K1160" t="str">
        <f>PROPER('Original Data'!K1160)</f>
        <v>Apple Pay</v>
      </c>
      <c r="L1160" t="s">
        <v>63</v>
      </c>
      <c r="M1160" t="str" cm="1">
        <f t="array" ref="M1160">_xlfn.IFS(OR('Original Data'!M1160=0,'Original Data'!M1160="No",'Original Data'!M1160=FALSE),"No",OR('Original Data'!M1160=1,'Original Data'!M1160="Yes",'Original Data'!M1160=TRUE),"Yes")</f>
        <v>Yes</v>
      </c>
    </row>
    <row r="1161" spans="1:13" x14ac:dyDescent="0.2">
      <c r="A1161">
        <v>1160</v>
      </c>
      <c r="B1161" t="s">
        <v>46</v>
      </c>
      <c r="C1161" s="5">
        <v>45134</v>
      </c>
      <c r="D1161" t="str">
        <f>VLOOKUP(B1161,'Original Data'!B:D,3,FALSE)</f>
        <v>Canvas Sneakers</v>
      </c>
      <c r="E1161" t="str">
        <f>_xlfn.XLOOKUP('Cleaned Data'!B227,'Original Data'!B:B,'Original Data'!E:E)</f>
        <v>GAP</v>
      </c>
      <c r="F1161" t="s">
        <v>44</v>
      </c>
      <c r="H1161">
        <v>4</v>
      </c>
      <c r="I1161" s="7">
        <v>0</v>
      </c>
      <c r="J1161">
        <v>199.8</v>
      </c>
      <c r="K1161" t="str">
        <f>PROPER('Original Data'!K1161)</f>
        <v>Gift Card</v>
      </c>
      <c r="L1161" t="s">
        <v>45</v>
      </c>
      <c r="M1161" t="s">
        <v>92</v>
      </c>
    </row>
    <row r="1162" spans="1:13" x14ac:dyDescent="0.2">
      <c r="A1162">
        <v>1161</v>
      </c>
      <c r="B1162" t="s">
        <v>56</v>
      </c>
      <c r="C1162" s="5">
        <v>45114</v>
      </c>
      <c r="D1162" t="s">
        <v>57</v>
      </c>
      <c r="E1162" t="s">
        <v>48</v>
      </c>
      <c r="F1162" t="s">
        <v>40</v>
      </c>
      <c r="G1162" t="s">
        <v>17</v>
      </c>
      <c r="H1162">
        <v>5</v>
      </c>
      <c r="I1162" s="7">
        <v>0.2</v>
      </c>
      <c r="J1162">
        <v>340</v>
      </c>
      <c r="K1162" t="str">
        <f>PROPER('Original Data'!K1162)</f>
        <v>Apple Pay</v>
      </c>
      <c r="L1162" t="s">
        <v>63</v>
      </c>
      <c r="M1162" t="str" cm="1">
        <f t="array" ref="M1162">_xlfn.IFS(OR('Original Data'!M1162=0,'Original Data'!M1162="No",'Original Data'!M1162=FALSE),"No",OR('Original Data'!M1162=1,'Original Data'!M1162="Yes",'Original Data'!M1162=TRUE),"Yes")</f>
        <v>Yes</v>
      </c>
    </row>
    <row r="1163" spans="1:13" x14ac:dyDescent="0.2">
      <c r="A1163">
        <v>1162</v>
      </c>
      <c r="B1163" t="s">
        <v>88</v>
      </c>
      <c r="C1163" s="5">
        <v>45206</v>
      </c>
      <c r="D1163" t="s">
        <v>89</v>
      </c>
      <c r="E1163" t="s">
        <v>33</v>
      </c>
      <c r="F1163" t="s">
        <v>34</v>
      </c>
      <c r="G1163" t="s">
        <v>35</v>
      </c>
      <c r="H1163">
        <v>2</v>
      </c>
      <c r="I1163" s="7">
        <v>0.2</v>
      </c>
      <c r="J1163">
        <v>316.8</v>
      </c>
      <c r="K1163" t="str">
        <f>PROPER('Original Data'!K1163)</f>
        <v>Gift Card</v>
      </c>
      <c r="L1163" t="s">
        <v>23</v>
      </c>
      <c r="M1163" t="str" cm="1">
        <f t="array" ref="M1163">_xlfn.IFS(OR('Original Data'!M1163=0,'Original Data'!M1163="No",'Original Data'!M1163=FALSE),"No",OR('Original Data'!M1163=1,'Original Data'!M1163="Yes",'Original Data'!M1163=TRUE),"Yes")</f>
        <v>No</v>
      </c>
    </row>
    <row r="1164" spans="1:13" x14ac:dyDescent="0.2">
      <c r="A1164">
        <v>1163</v>
      </c>
      <c r="B1164" t="s">
        <v>56</v>
      </c>
      <c r="C1164" s="5">
        <v>45318</v>
      </c>
      <c r="D1164" t="str">
        <f>VLOOKUP(B1164,'Original Data'!B:D,3,FALSE)</f>
        <v>Rain Jacket</v>
      </c>
      <c r="E1164" t="str">
        <f>_xlfn.XLOOKUP('Cleaned Data'!B1079,'Original Data'!B:B,'Original Data'!E:E)</f>
        <v>GAP</v>
      </c>
      <c r="F1164" t="s">
        <v>34</v>
      </c>
      <c r="G1164" t="s">
        <v>35</v>
      </c>
      <c r="H1164">
        <v>3</v>
      </c>
      <c r="I1164" s="7">
        <v>0</v>
      </c>
      <c r="J1164">
        <v>255</v>
      </c>
      <c r="K1164" t="str">
        <f>PROPER('Original Data'!K1164)</f>
        <v>Debit Card</v>
      </c>
      <c r="L1164" t="s">
        <v>49</v>
      </c>
      <c r="M1164" t="s">
        <v>92</v>
      </c>
    </row>
    <row r="1165" spans="1:13" x14ac:dyDescent="0.2">
      <c r="A1165">
        <v>1164</v>
      </c>
      <c r="B1165" t="s">
        <v>74</v>
      </c>
      <c r="C1165" s="5">
        <v>45008</v>
      </c>
      <c r="D1165" t="str">
        <f>VLOOKUP(B1165,'Original Data'!B:D,3,FALSE)</f>
        <v>Silk Scarf</v>
      </c>
      <c r="E1165" t="str">
        <f>_xlfn.XLOOKUP('Cleaned Data'!B758,'Original Data'!B:B,'Original Data'!E:E)</f>
        <v>NULL</v>
      </c>
      <c r="F1165" t="s">
        <v>26</v>
      </c>
      <c r="G1165" t="s">
        <v>22</v>
      </c>
      <c r="H1165">
        <v>3</v>
      </c>
      <c r="I1165" s="7">
        <v>0.25</v>
      </c>
      <c r="J1165">
        <v>101.14</v>
      </c>
      <c r="K1165" t="str">
        <f>PROPER('Original Data'!K1165)</f>
        <v>Cash</v>
      </c>
      <c r="L1165" t="s">
        <v>49</v>
      </c>
      <c r="M1165" t="s">
        <v>92</v>
      </c>
    </row>
    <row r="1166" spans="1:13" x14ac:dyDescent="0.2">
      <c r="A1166">
        <v>1165</v>
      </c>
      <c r="B1166" t="s">
        <v>46</v>
      </c>
      <c r="C1166" s="5">
        <v>44955</v>
      </c>
      <c r="D1166" t="s">
        <v>47</v>
      </c>
      <c r="E1166" t="s">
        <v>48</v>
      </c>
      <c r="F1166" t="s">
        <v>40</v>
      </c>
      <c r="G1166" t="s">
        <v>17</v>
      </c>
      <c r="H1166">
        <v>1</v>
      </c>
      <c r="I1166" s="7">
        <v>0.25</v>
      </c>
      <c r="J1166">
        <v>37.46</v>
      </c>
      <c r="K1166" t="str">
        <f>PROPER('Original Data'!K1166)</f>
        <v>Apple Pay</v>
      </c>
      <c r="L1166" t="s">
        <v>30</v>
      </c>
      <c r="M1166" t="str" cm="1">
        <f t="array" ref="M1166">_xlfn.IFS(OR('Original Data'!M1166=0,'Original Data'!M1166="No",'Original Data'!M1166=FALSE),"No",OR('Original Data'!M1166=1,'Original Data'!M1166="Yes",'Original Data'!M1166=TRUE),"Yes")</f>
        <v>No</v>
      </c>
    </row>
    <row r="1167" spans="1:13" x14ac:dyDescent="0.2">
      <c r="A1167">
        <v>1166</v>
      </c>
      <c r="B1167" t="s">
        <v>46</v>
      </c>
      <c r="C1167" s="5">
        <v>45229</v>
      </c>
      <c r="D1167" t="str">
        <f>VLOOKUP(B1167,'Original Data'!B:D,3,FALSE)</f>
        <v>Canvas Sneakers</v>
      </c>
      <c r="E1167" t="str">
        <f>_xlfn.XLOOKUP('Cleaned Data'!B229,'Original Data'!B:B,'Original Data'!E:E)</f>
        <v>Old Navy</v>
      </c>
      <c r="F1167" t="s">
        <v>21</v>
      </c>
      <c r="G1167" t="s">
        <v>22</v>
      </c>
      <c r="H1167">
        <v>5</v>
      </c>
      <c r="I1167" s="7">
        <v>0</v>
      </c>
      <c r="J1167">
        <v>249.75</v>
      </c>
      <c r="K1167" t="str">
        <f>PROPER('Original Data'!K1167)</f>
        <v>Cash</v>
      </c>
      <c r="L1167" t="s">
        <v>45</v>
      </c>
      <c r="M1167" t="s">
        <v>92</v>
      </c>
    </row>
    <row r="1168" spans="1:13" x14ac:dyDescent="0.2">
      <c r="A1168">
        <v>1167</v>
      </c>
      <c r="B1168" t="s">
        <v>88</v>
      </c>
      <c r="C1168" s="5">
        <v>45011</v>
      </c>
      <c r="D1168" t="s">
        <v>89</v>
      </c>
      <c r="E1168" t="s">
        <v>33</v>
      </c>
      <c r="F1168" t="s">
        <v>34</v>
      </c>
      <c r="G1168" t="s">
        <v>35</v>
      </c>
      <c r="H1168">
        <v>3</v>
      </c>
      <c r="I1168" s="7">
        <v>0</v>
      </c>
      <c r="J1168">
        <v>594</v>
      </c>
      <c r="K1168" t="str">
        <f>PROPER('Original Data'!K1168)</f>
        <v>Credit Card</v>
      </c>
      <c r="M1168" t="str" cm="1">
        <f t="array" ref="M1168">_xlfn.IFS(OR('Original Data'!M1168=0,'Original Data'!M1168="No",'Original Data'!M1168=FALSE),"No",OR('Original Data'!M1168=1,'Original Data'!M1168="Yes",'Original Data'!M1168=TRUE),"Yes")</f>
        <v>No</v>
      </c>
    </row>
    <row r="1169" spans="1:13" x14ac:dyDescent="0.2">
      <c r="A1169">
        <v>1168</v>
      </c>
      <c r="B1169" t="s">
        <v>58</v>
      </c>
      <c r="C1169" s="5">
        <v>45146</v>
      </c>
      <c r="D1169" t="s">
        <v>59</v>
      </c>
      <c r="E1169" t="s">
        <v>15</v>
      </c>
      <c r="F1169" t="s">
        <v>21</v>
      </c>
      <c r="G1169" t="s">
        <v>22</v>
      </c>
      <c r="H1169">
        <v>1</v>
      </c>
      <c r="I1169" s="7">
        <v>0.15</v>
      </c>
      <c r="J1169">
        <v>50.96</v>
      </c>
      <c r="K1169" t="str">
        <f>PROPER('Original Data'!K1169)</f>
        <v>Cash</v>
      </c>
      <c r="L1169" t="s">
        <v>55</v>
      </c>
      <c r="M1169" t="str" cm="1">
        <f t="array" ref="M1169">_xlfn.IFS(OR('Original Data'!M1169=0,'Original Data'!M1169="No",'Original Data'!M1169=FALSE),"No",OR('Original Data'!M1169=1,'Original Data'!M1169="Yes",'Original Data'!M1169=TRUE),"Yes")</f>
        <v>Yes</v>
      </c>
    </row>
    <row r="1170" spans="1:13" x14ac:dyDescent="0.2">
      <c r="A1170">
        <v>1169</v>
      </c>
      <c r="B1170" t="s">
        <v>58</v>
      </c>
      <c r="C1170" s="5">
        <v>45029</v>
      </c>
      <c r="D1170" t="s">
        <v>59</v>
      </c>
      <c r="E1170" t="s">
        <v>15</v>
      </c>
      <c r="F1170" t="s">
        <v>40</v>
      </c>
      <c r="G1170" t="s">
        <v>17</v>
      </c>
      <c r="H1170">
        <v>4</v>
      </c>
      <c r="I1170" s="7">
        <v>0.1</v>
      </c>
      <c r="J1170">
        <v>215.82</v>
      </c>
      <c r="K1170" t="str">
        <f>PROPER('Original Data'!K1170)</f>
        <v>Gift Card</v>
      </c>
      <c r="L1170" t="s">
        <v>23</v>
      </c>
      <c r="M1170" t="str" cm="1">
        <f t="array" ref="M1170">_xlfn.IFS(OR('Original Data'!M1170=0,'Original Data'!M1170="No",'Original Data'!M1170=FALSE),"No",OR('Original Data'!M1170=1,'Original Data'!M1170="Yes",'Original Data'!M1170=TRUE),"Yes")</f>
        <v>Yes</v>
      </c>
    </row>
    <row r="1171" spans="1:13" x14ac:dyDescent="0.2">
      <c r="A1171">
        <v>1170</v>
      </c>
      <c r="B1171" t="s">
        <v>19</v>
      </c>
      <c r="C1171" s="5">
        <v>45221</v>
      </c>
      <c r="D1171" t="s">
        <v>20</v>
      </c>
      <c r="E1171" t="s">
        <v>15</v>
      </c>
      <c r="F1171" t="s">
        <v>26</v>
      </c>
      <c r="G1171" t="s">
        <v>22</v>
      </c>
      <c r="H1171">
        <v>1</v>
      </c>
      <c r="I1171" s="7">
        <v>0</v>
      </c>
      <c r="J1171">
        <v>89.95</v>
      </c>
      <c r="K1171" t="str">
        <f>PROPER('Original Data'!K1171)</f>
        <v>Gift Card</v>
      </c>
      <c r="L1171" t="s">
        <v>23</v>
      </c>
      <c r="M1171" t="str" cm="1">
        <f t="array" ref="M1171">_xlfn.IFS(OR('Original Data'!M1171=0,'Original Data'!M1171="No",'Original Data'!M1171=FALSE),"No",OR('Original Data'!M1171=1,'Original Data'!M1171="Yes",'Original Data'!M1171=TRUE),"Yes")</f>
        <v>Yes</v>
      </c>
    </row>
    <row r="1172" spans="1:13" x14ac:dyDescent="0.2">
      <c r="A1172">
        <v>1171</v>
      </c>
      <c r="B1172" t="s">
        <v>58</v>
      </c>
      <c r="C1172" s="5">
        <v>45482</v>
      </c>
      <c r="D1172" t="s">
        <v>59</v>
      </c>
      <c r="E1172" t="s">
        <v>15</v>
      </c>
      <c r="F1172" t="s">
        <v>21</v>
      </c>
      <c r="G1172" t="s">
        <v>22</v>
      </c>
      <c r="H1172">
        <v>5</v>
      </c>
      <c r="I1172" s="7">
        <v>0.1</v>
      </c>
      <c r="J1172">
        <v>269.77999999999997</v>
      </c>
      <c r="K1172" t="str">
        <f>PROPER('Original Data'!K1172)</f>
        <v>Credit Card</v>
      </c>
      <c r="L1172" t="s">
        <v>55</v>
      </c>
      <c r="M1172" t="str" cm="1">
        <f t="array" ref="M1172">_xlfn.IFS(OR('Original Data'!M1172=0,'Original Data'!M1172="No",'Original Data'!M1172=FALSE),"No",OR('Original Data'!M1172=1,'Original Data'!M1172="Yes",'Original Data'!M1172=TRUE),"Yes")</f>
        <v>Yes</v>
      </c>
    </row>
    <row r="1173" spans="1:13" x14ac:dyDescent="0.2">
      <c r="A1173">
        <v>1172</v>
      </c>
      <c r="B1173" t="s">
        <v>68</v>
      </c>
      <c r="C1173" s="5">
        <v>44973</v>
      </c>
      <c r="D1173" t="s">
        <v>69</v>
      </c>
      <c r="E1173" t="s">
        <v>33</v>
      </c>
      <c r="F1173" t="s">
        <v>40</v>
      </c>
      <c r="G1173" t="s">
        <v>17</v>
      </c>
      <c r="H1173">
        <v>2</v>
      </c>
      <c r="I1173" s="7">
        <v>0.15</v>
      </c>
      <c r="J1173">
        <v>202.3</v>
      </c>
      <c r="K1173" t="str">
        <f>PROPER('Original Data'!K1173)</f>
        <v>Debit Card</v>
      </c>
      <c r="M1173" t="str" cm="1">
        <f t="array" ref="M1173">_xlfn.IFS(OR('Original Data'!M1173=0,'Original Data'!M1173="No",'Original Data'!M1173=FALSE),"No",OR('Original Data'!M1173=1,'Original Data'!M1173="Yes",'Original Data'!M1173=TRUE),"Yes")</f>
        <v>No</v>
      </c>
    </row>
    <row r="1174" spans="1:13" x14ac:dyDescent="0.2">
      <c r="A1174">
        <v>1173</v>
      </c>
      <c r="B1174" t="s">
        <v>42</v>
      </c>
      <c r="C1174" s="5">
        <v>45196</v>
      </c>
      <c r="D1174" t="s">
        <v>91</v>
      </c>
      <c r="E1174" t="s">
        <v>15</v>
      </c>
      <c r="F1174" t="s">
        <v>26</v>
      </c>
      <c r="G1174" t="s">
        <v>22</v>
      </c>
      <c r="H1174">
        <v>5</v>
      </c>
      <c r="I1174" s="7">
        <v>0.2</v>
      </c>
      <c r="J1174">
        <v>516</v>
      </c>
      <c r="K1174" t="str">
        <f>PROPER('Original Data'!K1174)</f>
        <v>Gift Card</v>
      </c>
      <c r="L1174" t="s">
        <v>41</v>
      </c>
      <c r="M1174" t="str" cm="1">
        <f t="array" ref="M1174">_xlfn.IFS(OR('Original Data'!M1174=0,'Original Data'!M1174="No",'Original Data'!M1174=FALSE),"No",OR('Original Data'!M1174=1,'Original Data'!M1174="Yes",'Original Data'!M1174=TRUE),"Yes")</f>
        <v>Yes</v>
      </c>
    </row>
    <row r="1175" spans="1:13" x14ac:dyDescent="0.2">
      <c r="A1175">
        <v>1174</v>
      </c>
      <c r="B1175" t="s">
        <v>81</v>
      </c>
      <c r="C1175" s="5">
        <v>44948</v>
      </c>
      <c r="D1175" t="str">
        <f>VLOOKUP(B1175,'Original Data'!B:D,3,FALSE)</f>
        <v>Slip-On Loafers</v>
      </c>
      <c r="E1175" t="str">
        <f>_xlfn.XLOOKUP('Cleaned Data'!B1146,'Original Data'!B:B,'Original Data'!E:E)</f>
        <v>NULL</v>
      </c>
      <c r="F1175" t="s">
        <v>34</v>
      </c>
      <c r="G1175" t="s">
        <v>35</v>
      </c>
      <c r="H1175">
        <v>3</v>
      </c>
      <c r="I1175" s="7">
        <v>0.1</v>
      </c>
      <c r="J1175">
        <v>215.87</v>
      </c>
      <c r="K1175" t="str">
        <f>PROPER('Original Data'!K1175)</f>
        <v>Debit Card</v>
      </c>
      <c r="L1175" t="s">
        <v>49</v>
      </c>
      <c r="M1175" t="s">
        <v>92</v>
      </c>
    </row>
    <row r="1176" spans="1:13" x14ac:dyDescent="0.2">
      <c r="A1176">
        <v>1175</v>
      </c>
      <c r="B1176" t="s">
        <v>42</v>
      </c>
      <c r="C1176" s="5">
        <v>45188</v>
      </c>
      <c r="D1176" t="s">
        <v>91</v>
      </c>
      <c r="E1176" t="str">
        <f>_xlfn.XLOOKUP('Cleaned Data'!B172,'Original Data'!B:B,'Original Data'!E:E)</f>
        <v>GAP</v>
      </c>
      <c r="F1176" t="s">
        <v>26</v>
      </c>
      <c r="G1176" t="s">
        <v>22</v>
      </c>
      <c r="H1176">
        <v>4</v>
      </c>
      <c r="I1176" s="7">
        <v>0.05</v>
      </c>
      <c r="J1176">
        <v>490.2</v>
      </c>
      <c r="K1176" t="str">
        <f>PROPER('Original Data'!K1176)</f>
        <v>Cash</v>
      </c>
      <c r="L1176" t="s">
        <v>28</v>
      </c>
      <c r="M1176" t="s">
        <v>92</v>
      </c>
    </row>
    <row r="1177" spans="1:13" x14ac:dyDescent="0.2">
      <c r="A1177">
        <v>1176</v>
      </c>
      <c r="B1177" t="s">
        <v>19</v>
      </c>
      <c r="C1177" s="5">
        <v>44998</v>
      </c>
      <c r="D1177" t="str">
        <f>VLOOKUP(B1177,'Original Data'!B:D,3,FALSE)</f>
        <v>Denim Jacket</v>
      </c>
      <c r="E1177" t="str">
        <f>_xlfn.XLOOKUP('Cleaned Data'!B470,'Original Data'!B:B,'Original Data'!E:E)</f>
        <v>GAP</v>
      </c>
      <c r="F1177" t="s">
        <v>66</v>
      </c>
      <c r="G1177" t="s">
        <v>67</v>
      </c>
      <c r="H1177">
        <v>2</v>
      </c>
      <c r="I1177" s="7">
        <v>0</v>
      </c>
      <c r="J1177">
        <v>179.9</v>
      </c>
      <c r="K1177" t="str">
        <f>PROPER('Original Data'!K1177)</f>
        <v>Credit Card</v>
      </c>
      <c r="L1177" t="s">
        <v>49</v>
      </c>
      <c r="M1177" t="s">
        <v>92</v>
      </c>
    </row>
    <row r="1178" spans="1:13" x14ac:dyDescent="0.2">
      <c r="A1178">
        <v>1177</v>
      </c>
      <c r="B1178" t="s">
        <v>78</v>
      </c>
      <c r="C1178" s="5">
        <v>45046</v>
      </c>
      <c r="D1178" t="s">
        <v>79</v>
      </c>
      <c r="E1178" t="s">
        <v>48</v>
      </c>
      <c r="F1178" t="s">
        <v>21</v>
      </c>
      <c r="G1178" t="s">
        <v>22</v>
      </c>
      <c r="H1178">
        <v>3</v>
      </c>
      <c r="I1178" s="7">
        <v>0.05</v>
      </c>
      <c r="J1178">
        <v>113.86</v>
      </c>
      <c r="K1178" t="str">
        <f>PROPER('Original Data'!K1178)</f>
        <v>Debit Card</v>
      </c>
      <c r="L1178" t="s">
        <v>23</v>
      </c>
      <c r="M1178" t="str" cm="1">
        <f t="array" ref="M1178">_xlfn.IFS(OR('Original Data'!M1178=0,'Original Data'!M1178="No",'Original Data'!M1178=FALSE),"No",OR('Original Data'!M1178=1,'Original Data'!M1178="Yes",'Original Data'!M1178=TRUE),"Yes")</f>
        <v>Yes</v>
      </c>
    </row>
    <row r="1179" spans="1:13" x14ac:dyDescent="0.2">
      <c r="A1179">
        <v>1178</v>
      </c>
      <c r="B1179" t="s">
        <v>88</v>
      </c>
      <c r="C1179" s="5">
        <v>45117</v>
      </c>
      <c r="D1179" t="s">
        <v>89</v>
      </c>
      <c r="E1179" t="s">
        <v>33</v>
      </c>
      <c r="F1179" t="s">
        <v>44</v>
      </c>
      <c r="H1179">
        <v>5</v>
      </c>
      <c r="I1179" s="7">
        <v>0.25</v>
      </c>
      <c r="J1179">
        <v>742.5</v>
      </c>
      <c r="K1179" t="s">
        <v>90</v>
      </c>
      <c r="L1179" t="s">
        <v>49</v>
      </c>
      <c r="M1179" t="str" cm="1">
        <f t="array" ref="M1179">_xlfn.IFS(OR('Original Data'!M1179=0,'Original Data'!M1179="No",'Original Data'!M1179=FALSE),"No",OR('Original Data'!M1179=1,'Original Data'!M1179="Yes",'Original Data'!M1179=TRUE),"Yes")</f>
        <v>No</v>
      </c>
    </row>
    <row r="1180" spans="1:13" x14ac:dyDescent="0.2">
      <c r="A1180">
        <v>1179</v>
      </c>
      <c r="B1180" t="s">
        <v>13</v>
      </c>
      <c r="C1180" s="5">
        <v>45460</v>
      </c>
      <c r="D1180" t="s">
        <v>14</v>
      </c>
      <c r="E1180" t="s">
        <v>15</v>
      </c>
      <c r="F1180" t="s">
        <v>66</v>
      </c>
      <c r="G1180" t="s">
        <v>67</v>
      </c>
      <c r="H1180">
        <v>2</v>
      </c>
      <c r="J1180">
        <v>39.979999999999997</v>
      </c>
      <c r="K1180" t="str">
        <f>PROPER('Original Data'!K1180)</f>
        <v>Cash</v>
      </c>
      <c r="L1180" t="s">
        <v>49</v>
      </c>
      <c r="M1180" t="str" cm="1">
        <f t="array" ref="M1180">_xlfn.IFS(OR('Original Data'!M1180=0,'Original Data'!M1180="No",'Original Data'!M1180=FALSE),"No",OR('Original Data'!M1180=1,'Original Data'!M1180="Yes",'Original Data'!M1180=TRUE),"Yes")</f>
        <v>No</v>
      </c>
    </row>
    <row r="1181" spans="1:13" x14ac:dyDescent="0.2">
      <c r="A1181">
        <v>1180</v>
      </c>
      <c r="B1181" t="s">
        <v>19</v>
      </c>
      <c r="C1181" s="5">
        <v>45368</v>
      </c>
      <c r="D1181" t="s">
        <v>20</v>
      </c>
      <c r="E1181" t="s">
        <v>15</v>
      </c>
      <c r="F1181" t="s">
        <v>66</v>
      </c>
      <c r="G1181" t="s">
        <v>67</v>
      </c>
      <c r="H1181">
        <v>5</v>
      </c>
      <c r="I1181" s="7">
        <v>0</v>
      </c>
      <c r="J1181">
        <v>449.75</v>
      </c>
      <c r="K1181" t="str">
        <f>PROPER('Original Data'!K1181)</f>
        <v>Debit Card</v>
      </c>
      <c r="L1181" t="s">
        <v>45</v>
      </c>
      <c r="M1181" t="str" cm="1">
        <f t="array" ref="M1181">_xlfn.IFS(OR('Original Data'!M1181=0,'Original Data'!M1181="No",'Original Data'!M1181=FALSE),"No",OR('Original Data'!M1181=1,'Original Data'!M1181="Yes",'Original Data'!M1181=TRUE),"Yes")</f>
        <v>Yes</v>
      </c>
    </row>
    <row r="1182" spans="1:13" x14ac:dyDescent="0.2">
      <c r="A1182">
        <v>1181</v>
      </c>
      <c r="B1182" t="s">
        <v>78</v>
      </c>
      <c r="C1182" s="5">
        <v>45301</v>
      </c>
      <c r="D1182" t="s">
        <v>79</v>
      </c>
      <c r="E1182" t="s">
        <v>48</v>
      </c>
      <c r="F1182" t="s">
        <v>16</v>
      </c>
      <c r="G1182" t="s">
        <v>17</v>
      </c>
      <c r="H1182">
        <v>5</v>
      </c>
      <c r="I1182" s="7">
        <v>0.25</v>
      </c>
      <c r="J1182">
        <v>149.81</v>
      </c>
      <c r="K1182" t="str">
        <f>PROPER('Original Data'!K1182)</f>
        <v>Apple Pay</v>
      </c>
      <c r="L1182" t="s">
        <v>23</v>
      </c>
      <c r="M1182" t="str" cm="1">
        <f t="array" ref="M1182">_xlfn.IFS(OR('Original Data'!M1182=0,'Original Data'!M1182="No",'Original Data'!M1182=FALSE),"No",OR('Original Data'!M1182=1,'Original Data'!M1182="Yes",'Original Data'!M1182=TRUE),"Yes")</f>
        <v>Yes</v>
      </c>
    </row>
    <row r="1183" spans="1:13" x14ac:dyDescent="0.2">
      <c r="A1183">
        <v>1182</v>
      </c>
      <c r="B1183" t="s">
        <v>81</v>
      </c>
      <c r="C1183" s="5">
        <v>45634</v>
      </c>
      <c r="D1183" t="s">
        <v>82</v>
      </c>
      <c r="E1183" t="s">
        <v>15</v>
      </c>
      <c r="F1183" t="s">
        <v>40</v>
      </c>
      <c r="G1183" t="s">
        <v>17</v>
      </c>
      <c r="H1183">
        <v>4</v>
      </c>
      <c r="I1183" s="7">
        <v>0.25</v>
      </c>
      <c r="J1183">
        <v>239.85</v>
      </c>
      <c r="K1183" t="str">
        <f>PROPER('Original Data'!K1183)</f>
        <v>Apple Pay</v>
      </c>
      <c r="L1183" t="s">
        <v>45</v>
      </c>
      <c r="M1183" t="str" cm="1">
        <f t="array" ref="M1183">_xlfn.IFS(OR('Original Data'!M1183=0,'Original Data'!M1183="No",'Original Data'!M1183=FALSE),"No",OR('Original Data'!M1183=1,'Original Data'!M1183="Yes",'Original Data'!M1183=TRUE),"Yes")</f>
        <v>Yes</v>
      </c>
    </row>
    <row r="1184" spans="1:13" x14ac:dyDescent="0.2">
      <c r="A1184">
        <v>1183</v>
      </c>
      <c r="B1184" t="s">
        <v>42</v>
      </c>
      <c r="C1184" s="5">
        <v>45522</v>
      </c>
      <c r="D1184" t="s">
        <v>91</v>
      </c>
      <c r="E1184" t="str">
        <f>_xlfn.XLOOKUP('Cleaned Data'!B173,'Original Data'!B:B,'Original Data'!E:E)</f>
        <v>Banana Republic</v>
      </c>
      <c r="F1184" t="s">
        <v>34</v>
      </c>
      <c r="G1184" t="s">
        <v>35</v>
      </c>
      <c r="H1184">
        <v>5</v>
      </c>
      <c r="I1184" s="7">
        <v>0.2</v>
      </c>
      <c r="J1184">
        <v>516</v>
      </c>
      <c r="K1184" t="s">
        <v>90</v>
      </c>
      <c r="L1184" t="s">
        <v>45</v>
      </c>
      <c r="M1184" t="s">
        <v>92</v>
      </c>
    </row>
    <row r="1185" spans="1:13" x14ac:dyDescent="0.2">
      <c r="A1185">
        <v>1184</v>
      </c>
      <c r="B1185" t="s">
        <v>83</v>
      </c>
      <c r="C1185" s="5">
        <v>45491</v>
      </c>
      <c r="D1185" t="s">
        <v>84</v>
      </c>
      <c r="E1185" t="s">
        <v>48</v>
      </c>
      <c r="F1185" t="s">
        <v>66</v>
      </c>
      <c r="G1185" t="s">
        <v>67</v>
      </c>
      <c r="H1185">
        <v>2</v>
      </c>
      <c r="I1185" s="7">
        <v>0</v>
      </c>
      <c r="J1185">
        <v>99.9</v>
      </c>
      <c r="K1185" t="str">
        <f>PROPER('Original Data'!K1185)</f>
        <v>Debit Card</v>
      </c>
      <c r="L1185" t="s">
        <v>23</v>
      </c>
      <c r="M1185" t="str" cm="1">
        <f t="array" ref="M1185">_xlfn.IFS(OR('Original Data'!M1185=0,'Original Data'!M1185="No",'Original Data'!M1185=FALSE),"No",OR('Original Data'!M1185=1,'Original Data'!M1185="Yes",'Original Data'!M1185=TRUE),"Yes")</f>
        <v>No</v>
      </c>
    </row>
    <row r="1186" spans="1:13" x14ac:dyDescent="0.2">
      <c r="A1186">
        <v>1185</v>
      </c>
      <c r="B1186" t="s">
        <v>64</v>
      </c>
      <c r="C1186" s="5">
        <v>45061</v>
      </c>
      <c r="D1186" t="s">
        <v>65</v>
      </c>
      <c r="E1186" t="s">
        <v>33</v>
      </c>
      <c r="F1186" t="s">
        <v>53</v>
      </c>
      <c r="G1186" t="s">
        <v>54</v>
      </c>
      <c r="H1186">
        <v>4</v>
      </c>
      <c r="I1186" s="7">
        <v>0.1</v>
      </c>
      <c r="J1186">
        <v>269.82</v>
      </c>
      <c r="K1186" t="str">
        <f>PROPER('Original Data'!K1186)</f>
        <v>Apple Pay</v>
      </c>
      <c r="L1186" t="s">
        <v>63</v>
      </c>
      <c r="M1186" t="str" cm="1">
        <f t="array" ref="M1186">_xlfn.IFS(OR('Original Data'!M1186=0,'Original Data'!M1186="No",'Original Data'!M1186=FALSE),"No",OR('Original Data'!M1186=1,'Original Data'!M1186="Yes",'Original Data'!M1186=TRUE),"Yes")</f>
        <v>No</v>
      </c>
    </row>
    <row r="1187" spans="1:13" x14ac:dyDescent="0.2">
      <c r="A1187">
        <v>1186</v>
      </c>
      <c r="B1187" t="s">
        <v>13</v>
      </c>
      <c r="C1187" s="5">
        <v>45210</v>
      </c>
      <c r="D1187" t="s">
        <v>14</v>
      </c>
      <c r="E1187" t="s">
        <v>15</v>
      </c>
      <c r="F1187" t="s">
        <v>66</v>
      </c>
      <c r="G1187" t="s">
        <v>67</v>
      </c>
      <c r="H1187">
        <v>2</v>
      </c>
      <c r="I1187" s="7">
        <v>0</v>
      </c>
      <c r="J1187">
        <v>39.979999999999997</v>
      </c>
      <c r="K1187" t="str">
        <f>PROPER('Original Data'!K1187)</f>
        <v>Credit Card</v>
      </c>
      <c r="L1187" t="s">
        <v>63</v>
      </c>
      <c r="M1187" t="str" cm="1">
        <f t="array" ref="M1187">_xlfn.IFS(OR('Original Data'!M1187=0,'Original Data'!M1187="No",'Original Data'!M1187=FALSE),"No",OR('Original Data'!M1187=1,'Original Data'!M1187="Yes",'Original Data'!M1187=TRUE),"Yes")</f>
        <v>No</v>
      </c>
    </row>
    <row r="1188" spans="1:13" x14ac:dyDescent="0.2">
      <c r="A1188">
        <v>1187</v>
      </c>
      <c r="B1188" t="s">
        <v>68</v>
      </c>
      <c r="C1188" s="5">
        <v>45022</v>
      </c>
      <c r="D1188" t="s">
        <v>69</v>
      </c>
      <c r="E1188" t="s">
        <v>33</v>
      </c>
      <c r="F1188" t="s">
        <v>34</v>
      </c>
      <c r="G1188" t="s">
        <v>35</v>
      </c>
      <c r="H1188">
        <v>2</v>
      </c>
      <c r="I1188" s="7">
        <v>0</v>
      </c>
      <c r="J1188">
        <v>238</v>
      </c>
      <c r="K1188" t="s">
        <v>90</v>
      </c>
      <c r="L1188" t="s">
        <v>45</v>
      </c>
      <c r="M1188" t="str" cm="1">
        <f t="array" ref="M1188">_xlfn.IFS(OR('Original Data'!M1188=0,'Original Data'!M1188="No",'Original Data'!M1188=FALSE),"No",OR('Original Data'!M1188=1,'Original Data'!M1188="Yes",'Original Data'!M1188=TRUE),"Yes")</f>
        <v>No</v>
      </c>
    </row>
    <row r="1189" spans="1:13" x14ac:dyDescent="0.2">
      <c r="A1189">
        <v>1188</v>
      </c>
      <c r="B1189" t="s">
        <v>24</v>
      </c>
      <c r="C1189" s="5">
        <v>45525</v>
      </c>
      <c r="D1189" t="s">
        <v>87</v>
      </c>
      <c r="E1189" t="s">
        <v>39</v>
      </c>
      <c r="F1189" t="s">
        <v>34</v>
      </c>
      <c r="G1189" t="s">
        <v>35</v>
      </c>
      <c r="H1189">
        <v>4</v>
      </c>
      <c r="I1189" s="7">
        <v>0.25</v>
      </c>
      <c r="J1189">
        <v>134.85</v>
      </c>
      <c r="K1189" t="str">
        <f>PROPER('Original Data'!K1189)</f>
        <v>Gift Card</v>
      </c>
      <c r="L1189" t="s">
        <v>49</v>
      </c>
      <c r="M1189" t="str" cm="1">
        <f t="array" ref="M1189">_xlfn.IFS(OR('Original Data'!M1189=0,'Original Data'!M1189="No",'Original Data'!M1189=FALSE),"No",OR('Original Data'!M1189=1,'Original Data'!M1189="Yes",'Original Data'!M1189=TRUE),"Yes")</f>
        <v>Yes</v>
      </c>
    </row>
    <row r="1190" spans="1:13" x14ac:dyDescent="0.2">
      <c r="A1190">
        <v>1189</v>
      </c>
      <c r="B1190" t="s">
        <v>83</v>
      </c>
      <c r="C1190" s="5">
        <v>45523</v>
      </c>
      <c r="D1190" t="s">
        <v>84</v>
      </c>
      <c r="E1190" t="s">
        <v>48</v>
      </c>
      <c r="F1190" t="s">
        <v>16</v>
      </c>
      <c r="G1190" t="s">
        <v>17</v>
      </c>
      <c r="H1190">
        <v>3</v>
      </c>
      <c r="J1190">
        <v>149.85</v>
      </c>
      <c r="K1190" t="str">
        <f>PROPER('Original Data'!K1190)</f>
        <v>Debit Card</v>
      </c>
      <c r="L1190" t="s">
        <v>23</v>
      </c>
      <c r="M1190" t="str" cm="1">
        <f t="array" ref="M1190">_xlfn.IFS(OR('Original Data'!M1190=0,'Original Data'!M1190="No",'Original Data'!M1190=FALSE),"No",OR('Original Data'!M1190=1,'Original Data'!M1190="Yes",'Original Data'!M1190=TRUE),"Yes")</f>
        <v>No</v>
      </c>
    </row>
    <row r="1191" spans="1:13" x14ac:dyDescent="0.2">
      <c r="A1191">
        <v>1190</v>
      </c>
      <c r="B1191" t="s">
        <v>74</v>
      </c>
      <c r="C1191" s="5">
        <v>45048</v>
      </c>
      <c r="D1191" t="s">
        <v>75</v>
      </c>
      <c r="E1191" t="s">
        <v>76</v>
      </c>
      <c r="F1191" t="s">
        <v>21</v>
      </c>
      <c r="G1191" t="s">
        <v>22</v>
      </c>
      <c r="H1191">
        <v>2</v>
      </c>
      <c r="I1191" s="7">
        <v>0</v>
      </c>
      <c r="J1191">
        <v>89.9</v>
      </c>
      <c r="K1191" t="str">
        <f>PROPER('Original Data'!K1191)</f>
        <v>Debit Card</v>
      </c>
      <c r="L1191" t="s">
        <v>55</v>
      </c>
      <c r="M1191" t="str" cm="1">
        <f t="array" ref="M1191">_xlfn.IFS(OR('Original Data'!M1191=0,'Original Data'!M1191="No",'Original Data'!M1191=FALSE),"No",OR('Original Data'!M1191=1,'Original Data'!M1191="Yes",'Original Data'!M1191=TRUE),"Yes")</f>
        <v>No</v>
      </c>
    </row>
    <row r="1192" spans="1:13" x14ac:dyDescent="0.2">
      <c r="A1192">
        <v>1191</v>
      </c>
      <c r="B1192" t="s">
        <v>58</v>
      </c>
      <c r="C1192" s="5">
        <v>45013</v>
      </c>
      <c r="D1192" t="s">
        <v>59</v>
      </c>
      <c r="E1192" t="s">
        <v>15</v>
      </c>
      <c r="F1192" t="s">
        <v>44</v>
      </c>
      <c r="H1192">
        <v>4</v>
      </c>
      <c r="I1192" s="7">
        <v>0.05</v>
      </c>
      <c r="J1192">
        <v>227.81</v>
      </c>
      <c r="K1192" t="str">
        <f>PROPER('Original Data'!K1192)</f>
        <v>Debit Card</v>
      </c>
      <c r="L1192" t="s">
        <v>28</v>
      </c>
      <c r="M1192" t="str" cm="1">
        <f t="array" ref="M1192">_xlfn.IFS(OR('Original Data'!M1192=0,'Original Data'!M1192="No",'Original Data'!M1192=FALSE),"No",OR('Original Data'!M1192=1,'Original Data'!M1192="Yes",'Original Data'!M1192=TRUE),"Yes")</f>
        <v>Yes</v>
      </c>
    </row>
    <row r="1193" spans="1:13" x14ac:dyDescent="0.2">
      <c r="A1193">
        <v>1192</v>
      </c>
      <c r="B1193" t="s">
        <v>85</v>
      </c>
      <c r="C1193" s="5">
        <v>45120</v>
      </c>
      <c r="D1193" t="s">
        <v>86</v>
      </c>
      <c r="E1193" t="s">
        <v>76</v>
      </c>
      <c r="F1193" t="s">
        <v>44</v>
      </c>
      <c r="H1193">
        <v>4</v>
      </c>
      <c r="I1193" s="7">
        <v>0.05</v>
      </c>
      <c r="J1193">
        <v>341.81</v>
      </c>
      <c r="K1193" t="s">
        <v>90</v>
      </c>
      <c r="L1193" t="s">
        <v>30</v>
      </c>
      <c r="M1193" t="str" cm="1">
        <f t="array" ref="M1193">_xlfn.IFS(OR('Original Data'!M1193=0,'Original Data'!M1193="No",'Original Data'!M1193=FALSE),"No",OR('Original Data'!M1193=1,'Original Data'!M1193="Yes",'Original Data'!M1193=TRUE),"Yes")</f>
        <v>Yes</v>
      </c>
    </row>
    <row r="1194" spans="1:13" x14ac:dyDescent="0.2">
      <c r="A1194">
        <v>1193</v>
      </c>
      <c r="B1194" t="s">
        <v>85</v>
      </c>
      <c r="C1194" s="5">
        <v>45188</v>
      </c>
      <c r="D1194" t="s">
        <v>86</v>
      </c>
      <c r="E1194" t="s">
        <v>76</v>
      </c>
      <c r="F1194" t="s">
        <v>66</v>
      </c>
      <c r="G1194" t="s">
        <v>67</v>
      </c>
      <c r="H1194">
        <v>1</v>
      </c>
      <c r="I1194" s="7">
        <v>0</v>
      </c>
      <c r="J1194">
        <v>89.95</v>
      </c>
      <c r="K1194" t="str">
        <f>PROPER('Original Data'!K1194)</f>
        <v>Debit Card</v>
      </c>
      <c r="L1194" t="s">
        <v>30</v>
      </c>
      <c r="M1194" t="str" cm="1">
        <f t="array" ref="M1194">_xlfn.IFS(OR('Original Data'!M1194=0,'Original Data'!M1194="No",'Original Data'!M1194=FALSE),"No",OR('Original Data'!M1194=1,'Original Data'!M1194="Yes",'Original Data'!M1194=TRUE),"Yes")</f>
        <v>Yes</v>
      </c>
    </row>
    <row r="1195" spans="1:13" x14ac:dyDescent="0.2">
      <c r="A1195">
        <v>1194</v>
      </c>
      <c r="B1195" t="s">
        <v>78</v>
      </c>
      <c r="C1195" s="5">
        <v>45630</v>
      </c>
      <c r="D1195" t="s">
        <v>79</v>
      </c>
      <c r="E1195" t="s">
        <v>48</v>
      </c>
      <c r="F1195" t="s">
        <v>16</v>
      </c>
      <c r="G1195" t="s">
        <v>17</v>
      </c>
      <c r="H1195">
        <v>5</v>
      </c>
      <c r="I1195" s="7">
        <v>0</v>
      </c>
      <c r="J1195">
        <v>199.75</v>
      </c>
      <c r="K1195" t="s">
        <v>90</v>
      </c>
      <c r="L1195" t="s">
        <v>41</v>
      </c>
      <c r="M1195" t="str" cm="1">
        <f t="array" ref="M1195">_xlfn.IFS(OR('Original Data'!M1195=0,'Original Data'!M1195="No",'Original Data'!M1195=FALSE),"No",OR('Original Data'!M1195=1,'Original Data'!M1195="Yes",'Original Data'!M1195=TRUE),"Yes")</f>
        <v>Yes</v>
      </c>
    </row>
    <row r="1196" spans="1:13" x14ac:dyDescent="0.2">
      <c r="A1196">
        <v>1195</v>
      </c>
      <c r="B1196" t="s">
        <v>64</v>
      </c>
      <c r="C1196" s="5">
        <v>45064</v>
      </c>
      <c r="D1196" t="s">
        <v>65</v>
      </c>
      <c r="E1196" t="s">
        <v>33</v>
      </c>
      <c r="F1196" t="s">
        <v>21</v>
      </c>
      <c r="G1196" t="s">
        <v>22</v>
      </c>
      <c r="H1196">
        <v>2</v>
      </c>
      <c r="I1196" s="7">
        <v>0.05</v>
      </c>
      <c r="J1196">
        <v>142.4</v>
      </c>
      <c r="K1196" t="str">
        <f>PROPER('Original Data'!K1196)</f>
        <v>Debit Card</v>
      </c>
      <c r="M1196" t="str" cm="1">
        <f t="array" ref="M1196">_xlfn.IFS(OR('Original Data'!M1196=0,'Original Data'!M1196="No",'Original Data'!M1196=FALSE),"No",OR('Original Data'!M1196=1,'Original Data'!M1196="Yes",'Original Data'!M1196=TRUE),"Yes")</f>
        <v>No</v>
      </c>
    </row>
    <row r="1197" spans="1:13" x14ac:dyDescent="0.2">
      <c r="A1197">
        <v>1196</v>
      </c>
      <c r="B1197" t="s">
        <v>19</v>
      </c>
      <c r="C1197" s="5">
        <v>45173</v>
      </c>
      <c r="D1197" t="s">
        <v>20</v>
      </c>
      <c r="E1197" t="s">
        <v>15</v>
      </c>
      <c r="F1197" t="s">
        <v>34</v>
      </c>
      <c r="G1197" t="s">
        <v>35</v>
      </c>
      <c r="H1197">
        <v>3</v>
      </c>
      <c r="I1197" s="7">
        <v>0.05</v>
      </c>
      <c r="J1197">
        <v>256.36</v>
      </c>
      <c r="K1197" t="str">
        <f>PROPER('Original Data'!K1197)</f>
        <v>Apple Pay</v>
      </c>
      <c r="L1197" t="s">
        <v>23</v>
      </c>
      <c r="M1197" t="str" cm="1">
        <f t="array" ref="M1197">_xlfn.IFS(OR('Original Data'!M1197=0,'Original Data'!M1197="No",'Original Data'!M1197=FALSE),"No",OR('Original Data'!M1197=1,'Original Data'!M1197="Yes",'Original Data'!M1197=TRUE),"Yes")</f>
        <v>Yes</v>
      </c>
    </row>
    <row r="1198" spans="1:13" x14ac:dyDescent="0.2">
      <c r="A1198">
        <v>1197</v>
      </c>
      <c r="B1198" t="s">
        <v>74</v>
      </c>
      <c r="C1198" s="5">
        <v>45391</v>
      </c>
      <c r="D1198" t="s">
        <v>75</v>
      </c>
      <c r="E1198" t="s">
        <v>76</v>
      </c>
      <c r="F1198" t="s">
        <v>44</v>
      </c>
      <c r="H1198">
        <v>5</v>
      </c>
      <c r="I1198" s="7">
        <v>0.1</v>
      </c>
      <c r="J1198">
        <v>202.28</v>
      </c>
      <c r="K1198" t="str">
        <f>PROPER('Original Data'!K1198)</f>
        <v>Cash</v>
      </c>
      <c r="L1198" t="s">
        <v>41</v>
      </c>
      <c r="M1198" t="str" cm="1">
        <f t="array" ref="M1198">_xlfn.IFS(OR('Original Data'!M1198=0,'Original Data'!M1198="No",'Original Data'!M1198=FALSE),"No",OR('Original Data'!M1198=1,'Original Data'!M1198="Yes",'Original Data'!M1198=TRUE),"Yes")</f>
        <v>No</v>
      </c>
    </row>
    <row r="1199" spans="1:13" x14ac:dyDescent="0.2">
      <c r="A1199">
        <v>1198</v>
      </c>
      <c r="B1199" t="s">
        <v>19</v>
      </c>
      <c r="C1199" s="5">
        <v>45329</v>
      </c>
      <c r="D1199" t="s">
        <v>20</v>
      </c>
      <c r="E1199" t="s">
        <v>15</v>
      </c>
      <c r="F1199" t="s">
        <v>40</v>
      </c>
      <c r="G1199" t="s">
        <v>17</v>
      </c>
      <c r="H1199">
        <v>4</v>
      </c>
      <c r="I1199" s="7">
        <v>0.15</v>
      </c>
      <c r="J1199">
        <v>305.83</v>
      </c>
      <c r="K1199" t="str">
        <f>PROPER('Original Data'!K1199)</f>
        <v>Cash</v>
      </c>
      <c r="L1199" t="s">
        <v>41</v>
      </c>
      <c r="M1199" t="str" cm="1">
        <f t="array" ref="M1199">_xlfn.IFS(OR('Original Data'!M1199=0,'Original Data'!M1199="No",'Original Data'!M1199=FALSE),"No",OR('Original Data'!M1199=1,'Original Data'!M1199="Yes",'Original Data'!M1199=TRUE),"Yes")</f>
        <v>Yes</v>
      </c>
    </row>
    <row r="1200" spans="1:13" x14ac:dyDescent="0.2">
      <c r="A1200">
        <v>1199</v>
      </c>
      <c r="B1200" t="s">
        <v>50</v>
      </c>
      <c r="C1200" s="5">
        <v>45267</v>
      </c>
      <c r="D1200" t="s">
        <v>51</v>
      </c>
      <c r="E1200" t="s">
        <v>15</v>
      </c>
      <c r="F1200" t="s">
        <v>40</v>
      </c>
      <c r="G1200" t="s">
        <v>17</v>
      </c>
      <c r="H1200">
        <v>3</v>
      </c>
      <c r="I1200" s="7">
        <v>0</v>
      </c>
      <c r="J1200">
        <v>209.85</v>
      </c>
      <c r="K1200" t="s">
        <v>90</v>
      </c>
      <c r="L1200" t="s">
        <v>23</v>
      </c>
      <c r="M1200" t="str" cm="1">
        <f t="array" ref="M1200">_xlfn.IFS(OR('Original Data'!M1200=0,'Original Data'!M1200="No",'Original Data'!M1200=FALSE),"No",OR('Original Data'!M1200=1,'Original Data'!M1200="Yes",'Original Data'!M1200=TRUE),"Yes")</f>
        <v>No</v>
      </c>
    </row>
    <row r="1201" spans="1:13" x14ac:dyDescent="0.2">
      <c r="A1201">
        <v>1200</v>
      </c>
      <c r="B1201" t="s">
        <v>74</v>
      </c>
      <c r="C1201" s="5">
        <v>45172</v>
      </c>
      <c r="D1201" t="s">
        <v>75</v>
      </c>
      <c r="E1201" t="s">
        <v>76</v>
      </c>
      <c r="F1201" t="s">
        <v>21</v>
      </c>
      <c r="G1201" t="s">
        <v>22</v>
      </c>
      <c r="H1201">
        <v>3</v>
      </c>
      <c r="I1201" s="7">
        <v>0.25</v>
      </c>
      <c r="J1201">
        <v>101.14</v>
      </c>
      <c r="K1201" t="str">
        <f>PROPER('Original Data'!K1201)</f>
        <v>Credit Card</v>
      </c>
      <c r="L1201" t="s">
        <v>45</v>
      </c>
      <c r="M1201" t="str" cm="1">
        <f t="array" ref="M1201">_xlfn.IFS(OR('Original Data'!M1201=0,'Original Data'!M1201="No",'Original Data'!M1201=FALSE),"No",OR('Original Data'!M1201=1,'Original Data'!M1201="Yes",'Original Data'!M1201=TRUE),"Yes")</f>
        <v>No</v>
      </c>
    </row>
    <row r="1202" spans="1:13" x14ac:dyDescent="0.2">
      <c r="M1202" t="str" cm="1">
        <f t="array" ref="M1202">_xlfn.IFS(OR('Original Data'!M1202=0,'Original Data'!M1202="No",'Original Data'!M1202=FALSE),"No",OR('Original Data'!M1202=1,'Original Data'!M1202="Yes",'Original Data'!M1202=TRUE),"Yes")</f>
        <v>No</v>
      </c>
    </row>
    <row r="1203" spans="1:13" x14ac:dyDescent="0.2">
      <c r="M1203" t="str" cm="1">
        <f t="array" ref="M1203">_xlfn.IFS(OR('Original Data'!M1203=0,'Original Data'!M1203="No",'Original Data'!M1203=FALSE),"No",OR('Original Data'!M1203=1,'Original Data'!M1203="Yes",'Original Data'!M1203=TRUE),"Yes")</f>
        <v>No</v>
      </c>
    </row>
  </sheetData>
  <sortState xmlns:xlrd2="http://schemas.microsoft.com/office/spreadsheetml/2017/richdata2" ref="A2:L1202">
    <sortCondition ref="A1:A120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2026-05-11T14:02:12Z</dcterms:created>
  <dcterms:modified xsi:type="dcterms:W3CDTF">2026-05-13T12:49:29Z</dcterms:modified>
</cp:coreProperties>
</file>